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regensburg-my.sharepoint.com/personal/wac54436_ads_uni-regensburg_de/Documents/Studium Master/Semester 5/Masterarbeit/Kapitel/7.3 Evaluation Results/"/>
    </mc:Choice>
  </mc:AlternateContent>
  <xr:revisionPtr revIDLastSave="752" documentId="8_{9D082CB5-A4CD-4DFF-BA7D-C1E9C572B965}" xr6:coauthVersionLast="47" xr6:coauthVersionMax="47" xr10:uidLastSave="{99B88FA7-E462-4331-B9FD-9B13294EDB41}"/>
  <bookViews>
    <workbookView xWindow="28710" yWindow="0" windowWidth="9780" windowHeight="10170" activeTab="4" xr2:uid="{F445CC8B-466E-41CC-A34B-2256CA18F4B8}"/>
  </bookViews>
  <sheets>
    <sheet name="Loan application" sheetId="1" r:id="rId1"/>
    <sheet name="Order fulfillment" sheetId="2" r:id="rId2"/>
    <sheet name="Order to cash" sheetId="3" r:id="rId3"/>
    <sheet name="Task extraction" sheetId="6" r:id="rId4"/>
    <sheet name="Resul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4" l="1"/>
  <c r="T18" i="4"/>
  <c r="T17" i="4"/>
  <c r="S20" i="4"/>
  <c r="S18" i="4"/>
  <c r="S19" i="4" s="1"/>
  <c r="S17" i="4"/>
  <c r="R20" i="4"/>
  <c r="R18" i="4"/>
  <c r="R19" i="4" s="1"/>
  <c r="R17" i="4"/>
  <c r="T13" i="4"/>
  <c r="T11" i="4"/>
  <c r="U11" i="4" s="1"/>
  <c r="T10" i="4"/>
  <c r="S13" i="4"/>
  <c r="U13" i="4" s="1"/>
  <c r="S11" i="4"/>
  <c r="S10" i="4"/>
  <c r="R13" i="4"/>
  <c r="R11" i="4"/>
  <c r="R10" i="4"/>
  <c r="T6" i="4"/>
  <c r="T4" i="4"/>
  <c r="T3" i="4"/>
  <c r="S6" i="4"/>
  <c r="S4" i="4"/>
  <c r="U4" i="4" s="1"/>
  <c r="S3" i="4"/>
  <c r="R6" i="4"/>
  <c r="R4" i="4"/>
  <c r="R3" i="4"/>
  <c r="M12" i="4"/>
  <c r="U20" i="4"/>
  <c r="U17" i="4"/>
  <c r="S12" i="4"/>
  <c r="R12" i="4"/>
  <c r="U10" i="4"/>
  <c r="T5" i="4"/>
  <c r="U3" i="4"/>
  <c r="D19" i="4"/>
  <c r="C19" i="4"/>
  <c r="B19" i="4"/>
  <c r="D12" i="4"/>
  <c r="C12" i="4"/>
  <c r="B12" i="4"/>
  <c r="D5" i="4"/>
  <c r="C5" i="4"/>
  <c r="B5" i="4"/>
  <c r="N19" i="4"/>
  <c r="O19" i="4"/>
  <c r="M19" i="4"/>
  <c r="N12" i="4"/>
  <c r="O12" i="4"/>
  <c r="N5" i="4"/>
  <c r="O5" i="4"/>
  <c r="M5" i="4"/>
  <c r="I20" i="4"/>
  <c r="H20" i="4"/>
  <c r="G20" i="4"/>
  <c r="I18" i="4"/>
  <c r="H18" i="4"/>
  <c r="G18" i="4"/>
  <c r="I17" i="4"/>
  <c r="H17" i="4"/>
  <c r="G17" i="4"/>
  <c r="I13" i="4"/>
  <c r="I6" i="4"/>
  <c r="I11" i="4"/>
  <c r="I4" i="4"/>
  <c r="I10" i="4"/>
  <c r="I3" i="4"/>
  <c r="H13" i="4"/>
  <c r="H6" i="4"/>
  <c r="H11" i="4"/>
  <c r="H4" i="4"/>
  <c r="H10" i="4"/>
  <c r="H3" i="4"/>
  <c r="G13" i="4"/>
  <c r="G6" i="4"/>
  <c r="G10" i="4"/>
  <c r="G11" i="4"/>
  <c r="G4" i="4"/>
  <c r="G3" i="4"/>
  <c r="T12" i="4" l="1"/>
  <c r="U12" i="4"/>
  <c r="U6" i="4"/>
  <c r="S5" i="4"/>
  <c r="U18" i="4"/>
  <c r="T19" i="4"/>
  <c r="U19" i="4" s="1"/>
  <c r="R5" i="4"/>
  <c r="U5" i="4" s="1"/>
  <c r="I5" i="4"/>
  <c r="J20" i="4"/>
  <c r="J3" i="4"/>
  <c r="I12" i="4"/>
  <c r="I19" i="4"/>
  <c r="J4" i="4"/>
  <c r="J11" i="4"/>
  <c r="H12" i="4"/>
  <c r="J13" i="4"/>
  <c r="H5" i="4"/>
  <c r="J6" i="4"/>
  <c r="G12" i="4"/>
  <c r="G19" i="4"/>
  <c r="H19" i="4"/>
  <c r="J18" i="4"/>
  <c r="J17" i="4"/>
  <c r="G5" i="4"/>
  <c r="J10" i="4"/>
  <c r="J12" i="4" l="1"/>
  <c r="J5" i="4"/>
  <c r="J19" i="4"/>
</calcChain>
</file>

<file path=xl/sharedStrings.xml><?xml version="1.0" encoding="utf-8"?>
<sst xmlns="http://schemas.openxmlformats.org/spreadsheetml/2006/main" count="3779" uniqueCount="805">
  <si>
    <t>process_id</t>
  </si>
  <si>
    <t>model_variant</t>
  </si>
  <si>
    <t>source_id</t>
  </si>
  <si>
    <t>source_type</t>
  </si>
  <si>
    <t>source_name</t>
  </si>
  <si>
    <t>flow_id</t>
  </si>
  <si>
    <t>target_id</t>
  </si>
  <si>
    <t>target_type</t>
  </si>
  <si>
    <t>target_name</t>
  </si>
  <si>
    <t>edge_key</t>
  </si>
  <si>
    <t>loan_application_process</t>
  </si>
  <si>
    <t>ground_truth</t>
  </si>
  <si>
    <t>Gateway_0ny5pcm</t>
  </si>
  <si>
    <t>parallelGateway</t>
  </si>
  <si>
    <t>Flow_0hgig0f</t>
  </si>
  <si>
    <t>Activity_0l72ud5</t>
  </si>
  <si>
    <t>task</t>
  </si>
  <si>
    <t>Check credit history</t>
  </si>
  <si>
    <t>Gateway_0ny5pcm::Flow_0hgig0f::Activity_0l72ud5</t>
  </si>
  <si>
    <t>Flow_16wnsni</t>
  </si>
  <si>
    <t>Activity_1pji1m2</t>
  </si>
  <si>
    <t>Assess loan risk</t>
  </si>
  <si>
    <t>Activity_0l72ud5::Flow_16wnsni::Activity_1pji1m2</t>
  </si>
  <si>
    <t>Flow_17ypg3z</t>
  </si>
  <si>
    <t>Gateway_0wlmwmp</t>
  </si>
  <si>
    <t>Activity_1pji1m2::Flow_17ypg3z::Gateway_0wlmwmp</t>
  </si>
  <si>
    <t>StartEvent_06zyjr2</t>
  </si>
  <si>
    <t>startEvent</t>
  </si>
  <si>
    <t>Loan application received</t>
  </si>
  <si>
    <t>Flow_1xgtr0s</t>
  </si>
  <si>
    <t>StartEvent_06zyjr2::Flow_1xgtr0s::Gateway_0ny5pcm</t>
  </si>
  <si>
    <t>Flow_0n24s0l</t>
  </si>
  <si>
    <t>Activity_1edfe4i</t>
  </si>
  <si>
    <t>Appraise property</t>
  </si>
  <si>
    <t>Gateway_0ny5pcm::Flow_0n24s0l::Activity_1edfe4i</t>
  </si>
  <si>
    <t>Flow_0cm52t0</t>
  </si>
  <si>
    <t>Activity_1edfe4i::Flow_0cm52t0::Gateway_0wlmwmp</t>
  </si>
  <si>
    <t>Flow_1d48u7z</t>
  </si>
  <si>
    <t>Activity_0zb0q7i</t>
  </si>
  <si>
    <t>Assess eligibility</t>
  </si>
  <si>
    <t>Gateway_0wlmwmp::Flow_1d48u7z::Activity_0zb0q7i</t>
  </si>
  <si>
    <t>Flow_1u0ve15</t>
  </si>
  <si>
    <t>Gateway_0wpykdj</t>
  </si>
  <si>
    <t>exclusiveGateway</t>
  </si>
  <si>
    <t>Activity_0zb0q7i::Flow_1u0ve15::Gateway_0wpykdj</t>
  </si>
  <si>
    <t>Flow_0w16ljo</t>
  </si>
  <si>
    <t>Activity_11hbzkq</t>
  </si>
  <si>
    <t>Reject application</t>
  </si>
  <si>
    <t>Gateway_0wpykdj::Flow_0w16ljo::Activity_11hbzkq</t>
  </si>
  <si>
    <t>Flow_1i1b0qf</t>
  </si>
  <si>
    <t>Event_12mrl7f</t>
  </si>
  <si>
    <t>endEvent</t>
  </si>
  <si>
    <t>Loan application rejected</t>
  </si>
  <si>
    <t>Activity_11hbzkq::Flow_1i1b0qf::Event_12mrl7f</t>
  </si>
  <si>
    <t>Flow_041wd3u</t>
  </si>
  <si>
    <t>Activity_1fxtpax</t>
  </si>
  <si>
    <t>Prepare acceptance pack</t>
  </si>
  <si>
    <t>Gateway_0wpykdj::Flow_041wd3u::Activity_1fxtpax</t>
  </si>
  <si>
    <t>Flow_163zb0q</t>
  </si>
  <si>
    <t>Activity_0i5xfx0</t>
  </si>
  <si>
    <t>Send acceptance pack</t>
  </si>
  <si>
    <t>Activity_1fxtpax::Flow_163zb0q::Activity_0i5xfx0</t>
  </si>
  <si>
    <t>Flow_05eniqq</t>
  </si>
  <si>
    <t>Event_1uiaheb</t>
  </si>
  <si>
    <t>Activity_0i5xfx0::Flow_05eniqq::Event_1uiaheb</t>
  </si>
  <si>
    <t>human_1</t>
  </si>
  <si>
    <t>StartEvent_106m0ls</t>
  </si>
  <si>
    <t>loan application received</t>
  </si>
  <si>
    <t>Flow_1vu61dn</t>
  </si>
  <si>
    <t>Gateway_0weltuw</t>
  </si>
  <si>
    <t>StartEvent_106m0ls::Flow_1vu61dn::Gateway_0weltuw</t>
  </si>
  <si>
    <t>Flow_0dudy86</t>
  </si>
  <si>
    <t>Activity_1vwunbp</t>
  </si>
  <si>
    <t>check credit history</t>
  </si>
  <si>
    <t>Gateway_0weltuw::Flow_0dudy86::Activity_1vwunbp</t>
  </si>
  <si>
    <t>Flow_0f2go1p</t>
  </si>
  <si>
    <t>Activity_0m2627i</t>
  </si>
  <si>
    <t>conduct property appraisal</t>
  </si>
  <si>
    <t>Gateway_0weltuw::Flow_0f2go1p::Activity_0m2627i</t>
  </si>
  <si>
    <t>Flow_1m4jh1m</t>
  </si>
  <si>
    <t>Gateway_029ezau</t>
  </si>
  <si>
    <t>Activity_1vwunbp::Flow_1m4jh1m::Gateway_029ezau</t>
  </si>
  <si>
    <t>Flow_17odqav</t>
  </si>
  <si>
    <t>Activity_0m2627i::Flow_17odqav::Gateway_029ezau</t>
  </si>
  <si>
    <t>Flow_0ab5ub4</t>
  </si>
  <si>
    <t>Activity_0pwsnk8</t>
  </si>
  <si>
    <t>assess the loan risk</t>
  </si>
  <si>
    <t>Gateway_029ezau::Flow_0ab5ub4::Activity_0pwsnk8</t>
  </si>
  <si>
    <t>Flow_09wocr1</t>
  </si>
  <si>
    <t>Activity_0u5gg6g</t>
  </si>
  <si>
    <t>determine the applicants eligibility</t>
  </si>
  <si>
    <t>Activity_0pwsnk8::Flow_09wocr1::Activity_0u5gg6g</t>
  </si>
  <si>
    <t>Flow_0y26f2a</t>
  </si>
  <si>
    <t>Gateway_10kzad8</t>
  </si>
  <si>
    <t>Activity_0u5gg6g::Flow_0y26f2a::Gateway_10kzad8</t>
  </si>
  <si>
    <t>Flow_1bfurjs</t>
  </si>
  <si>
    <t>Activity_01pxdvl</t>
  </si>
  <si>
    <t>reject applicant</t>
  </si>
  <si>
    <t>Gateway_10kzad8::Flow_1bfurjs::Activity_01pxdvl</t>
  </si>
  <si>
    <t>Flow_0v4y7zw</t>
  </si>
  <si>
    <t>Activity_0ptipgg</t>
  </si>
  <si>
    <t>prepare acceptance pack</t>
  </si>
  <si>
    <t>Gateway_10kzad8::Flow_0v4y7zw::Activity_0ptipgg</t>
  </si>
  <si>
    <t>Flow_1rgfmr7</t>
  </si>
  <si>
    <t>Activity_07qastb</t>
  </si>
  <si>
    <t>send accceptance pack to the applicant</t>
  </si>
  <si>
    <t>Activity_0ptipgg::Flow_1rgfmr7::Activity_07qastb</t>
  </si>
  <si>
    <t>Flow_1dmrc38</t>
  </si>
  <si>
    <t>Event_0erpamw</t>
  </si>
  <si>
    <t>acceptance pack is sent</t>
  </si>
  <si>
    <t>Activity_07qastb::Flow_1dmrc38::Event_0erpamw</t>
  </si>
  <si>
    <t>Flow_1aak7ot</t>
  </si>
  <si>
    <t>Event_0rqplk8</t>
  </si>
  <si>
    <t>applicant is rejected</t>
  </si>
  <si>
    <t>Activity_01pxdvl::Flow_1aak7ot::Event_0rqplk8</t>
  </si>
  <si>
    <t>human_2</t>
  </si>
  <si>
    <t>StartEvent_06pw11q</t>
  </si>
  <si>
    <t>Flow_0nhdn8h</t>
  </si>
  <si>
    <t>Activity_1vbbj9j</t>
  </si>
  <si>
    <t>Receive loan application</t>
  </si>
  <si>
    <t>StartEvent_06pw11q::Flow_0nhdn8h::Activity_1vbbj9j</t>
  </si>
  <si>
    <t>Flow_1egakak</t>
  </si>
  <si>
    <t>Activity_0n5iev0</t>
  </si>
  <si>
    <t>Conduct credit histroy check</t>
  </si>
  <si>
    <t>Activity_1vbbj9j::Flow_1egakak::Activity_0n5iev0</t>
  </si>
  <si>
    <t>Gateway_0b4yvxa</t>
  </si>
  <si>
    <t>Flow_0onrz6q</t>
  </si>
  <si>
    <t>Activity_0pln2e2</t>
  </si>
  <si>
    <t>Gateway_0b4yvxa::Flow_0onrz6q::Activity_0pln2e2</t>
  </si>
  <si>
    <t>Flow_05udl1r</t>
  </si>
  <si>
    <t>Activity_09ajx9o</t>
  </si>
  <si>
    <t>Conduct property appraisal</t>
  </si>
  <si>
    <t>Gateway_0b4yvxa::Flow_05udl1r::Activity_09ajx9o</t>
  </si>
  <si>
    <t>Flow_0ojevpb</t>
  </si>
  <si>
    <t>Activity_0n5iev0::Flow_0ojevpb::Gateway_0b4yvxa</t>
  </si>
  <si>
    <t>Flow_0kgg3u3</t>
  </si>
  <si>
    <t>Gateway_0m92ol1</t>
  </si>
  <si>
    <t>Activity_0pln2e2::Flow_0kgg3u3::Gateway_0m92ol1</t>
  </si>
  <si>
    <t>Flow_0r7owto</t>
  </si>
  <si>
    <t>Activity_09ajx9o::Flow_0r7owto::Gateway_0m92ol1</t>
  </si>
  <si>
    <t>Flow_1bpv8a8</t>
  </si>
  <si>
    <t>Activity_1vtqvnp</t>
  </si>
  <si>
    <t>Review results</t>
  </si>
  <si>
    <t>Gateway_0m92ol1::Flow_1bpv8a8::Activity_1vtqvnp</t>
  </si>
  <si>
    <t>Flow_0e0f5ml</t>
  </si>
  <si>
    <t>Gateway_08u52d2</t>
  </si>
  <si>
    <t>Eligibility criteria fulfilled?</t>
  </si>
  <si>
    <t>Activity_1vtqvnp::Flow_0e0f5ml::Gateway_08u52d2</t>
  </si>
  <si>
    <t>Flow_1nwhz6c</t>
  </si>
  <si>
    <t>Activity_0ekfke6</t>
  </si>
  <si>
    <t>Gateway_08u52d2::Flow_1nwhz6c::Activity_0ekfke6</t>
  </si>
  <si>
    <t>Flow_1snfydm</t>
  </si>
  <si>
    <t>Activity_0hbtbsa</t>
  </si>
  <si>
    <t>Gateway_08u52d2::Flow_1snfydm::Activity_0hbtbsa</t>
  </si>
  <si>
    <t>Flow_1p09xv7</t>
  </si>
  <si>
    <t>Event_1i152sy</t>
  </si>
  <si>
    <t>Activity_0hbtbsa::Flow_1p09xv7::Event_1i152sy</t>
  </si>
  <si>
    <t>Flow_1v5r0v8</t>
  </si>
  <si>
    <t>Activity_1tftl3i</t>
  </si>
  <si>
    <t>Send acceptance pack to applicant</t>
  </si>
  <si>
    <t>Activity_0ekfke6::Flow_1v5r0v8::Activity_1tftl3i</t>
  </si>
  <si>
    <t>Flow_0sda2ec</t>
  </si>
  <si>
    <t>Activity_19qudq0</t>
  </si>
  <si>
    <t>Review pack and proceed accordingly to instructions</t>
  </si>
  <si>
    <t>Activity_1tftl3i::Flow_0sda2ec::Activity_19qudq0</t>
  </si>
  <si>
    <t>Flow_0a6ve25</t>
  </si>
  <si>
    <t>Activity_00z8j0z</t>
  </si>
  <si>
    <t>Hand out final agreements</t>
  </si>
  <si>
    <t>Activity_19qudq0::Flow_0a6ve25::Activity_00z8j0z</t>
  </si>
  <si>
    <t>Flow_18ld0rn</t>
  </si>
  <si>
    <t>Event_1k4bpy7</t>
  </si>
  <si>
    <t>Activity_00z8j0z::Flow_18ld0rn::Event_1k4bpy7</t>
  </si>
  <si>
    <t>prototype</t>
  </si>
  <si>
    <t>Loan application received via online system</t>
  </si>
  <si>
    <t>Check applicant's credit history</t>
  </si>
  <si>
    <t>Assess loan risk (automated)</t>
  </si>
  <si>
    <t>Assess applicant's eligibility</t>
  </si>
  <si>
    <t>Is applicant eligible?</t>
  </si>
  <si>
    <t>Application rejected</t>
  </si>
  <si>
    <t>Acceptance pack sent to applicant</t>
  </si>
  <si>
    <t>Category</t>
  </si>
  <si>
    <t>order_fulfillment_process</t>
  </si>
  <si>
    <t>StartEvent_0qe1zgp</t>
  </si>
  <si>
    <t>Purchase order received</t>
  </si>
  <si>
    <t>Flow_14q5yl3</t>
  </si>
  <si>
    <t>Activity_160m44i</t>
  </si>
  <si>
    <t>Check stock availability</t>
  </si>
  <si>
    <t>StartEvent_0qe1zgp::Flow_14q5yl3::Activity_160m44i</t>
  </si>
  <si>
    <t>Flow_04wh3a7</t>
  </si>
  <si>
    <t>Gateway_1psbat2</t>
  </si>
  <si>
    <t>Activity_160m44i::Flow_04wh3a7::Gateway_1psbat2</t>
  </si>
  <si>
    <t>Flow_0bx708h</t>
  </si>
  <si>
    <t>Activity_0xluku4</t>
  </si>
  <si>
    <t>Reject order</t>
  </si>
  <si>
    <t>Gateway_1psbat2::Flow_0bx708h::Activity_0xluku4</t>
  </si>
  <si>
    <t>Flow_07uuriv</t>
  </si>
  <si>
    <t>EndEvent_d2c917f</t>
  </si>
  <si>
    <t>Order rejected</t>
  </si>
  <si>
    <t>Activity_0xluku4::Flow_07uuriv::EndEvent_d2c917f</t>
  </si>
  <si>
    <t>Flow_0hjoxe2</t>
  </si>
  <si>
    <t>Activity_1dkl374</t>
  </si>
  <si>
    <t>Retrieve product from warehouse</t>
  </si>
  <si>
    <t>Gateway_1psbat2::Flow_0hjoxe2::Activity_1dkl374</t>
  </si>
  <si>
    <t>Flow_1p2wnf9</t>
  </si>
  <si>
    <t>Activity_1cr25p0</t>
  </si>
  <si>
    <t>Confirm order</t>
  </si>
  <si>
    <t>Activity_1dkl374::Flow_1p2wnf9::Activity_1cr25p0</t>
  </si>
  <si>
    <t>Flow_0q19hq0</t>
  </si>
  <si>
    <t>Gateway_18zay6w</t>
  </si>
  <si>
    <t>Activity_1cr25p0::Flow_0q19hq0::Gateway_18zay6w</t>
  </si>
  <si>
    <t>Flow_0wy0b1g</t>
  </si>
  <si>
    <t>Activity_0jrru3r</t>
  </si>
  <si>
    <t>Get shipment adress</t>
  </si>
  <si>
    <t>Gateway_18zay6w::Flow_0wy0b1g::Activity_0jrru3r</t>
  </si>
  <si>
    <t>Flow_080xpma</t>
  </si>
  <si>
    <t>Activity_0vc4r6f</t>
  </si>
  <si>
    <t>Ship product</t>
  </si>
  <si>
    <t>Activity_0jrru3r::Flow_080xpma::Activity_0vc4r6f</t>
  </si>
  <si>
    <t>Flow_03sttcm</t>
  </si>
  <si>
    <t>Activity_15o4zxh</t>
  </si>
  <si>
    <t>Emit invoice</t>
  </si>
  <si>
    <t>Gateway_18zay6w::Flow_03sttcm::Activity_15o4zxh</t>
  </si>
  <si>
    <t>Flow_1wuznla</t>
  </si>
  <si>
    <t>Activity_0uzzls1</t>
  </si>
  <si>
    <t>Receive payment</t>
  </si>
  <si>
    <t>Activity_15o4zxh::Flow_1wuznla::Activity_0uzzls1</t>
  </si>
  <si>
    <t>Flow_0ezbet3</t>
  </si>
  <si>
    <t>Gateway_11i7wiw</t>
  </si>
  <si>
    <t>Activity_0vc4r6f::Flow_0ezbet3::Gateway_11i7wiw</t>
  </si>
  <si>
    <t>Flow_082ckd7</t>
  </si>
  <si>
    <t>Activity_0uzzls1::Flow_082ckd7::Gateway_11i7wiw</t>
  </si>
  <si>
    <t>Flow_1hckutk</t>
  </si>
  <si>
    <t>Activity_0nmcmyj</t>
  </si>
  <si>
    <t>Archive order</t>
  </si>
  <si>
    <t>Gateway_11i7wiw::Flow_1hckutk::Activity_0nmcmyj</t>
  </si>
  <si>
    <t>Flow_0w9c1wa</t>
  </si>
  <si>
    <t>EndEvent_480bd94</t>
  </si>
  <si>
    <t>Order fulfilled</t>
  </si>
  <si>
    <t>Activity_0nmcmyj::Flow_0w9c1wa::EndEvent_480bd94</t>
  </si>
  <si>
    <t>StartEvent_10ee9np</t>
  </si>
  <si>
    <t>purchase order received</t>
  </si>
  <si>
    <t>Flow_0r4ezbi</t>
  </si>
  <si>
    <t>Activity_007tasr</t>
  </si>
  <si>
    <t>check stock</t>
  </si>
  <si>
    <t>StartEvent_10ee9np::Flow_0r4ezbi::Activity_007tasr</t>
  </si>
  <si>
    <t>Flow_12k2hsh</t>
  </si>
  <si>
    <t>Gateway_06mdtsh</t>
  </si>
  <si>
    <t>Activity_007tasr::Flow_12k2hsh::Gateway_06mdtsh</t>
  </si>
  <si>
    <t>Flow_0vtl241</t>
  </si>
  <si>
    <t>Activity_0517fw5</t>
  </si>
  <si>
    <t>Gateway_06mdtsh::Flow_0vtl241::Activity_0517fw5</t>
  </si>
  <si>
    <t>Flow_1883pls</t>
  </si>
  <si>
    <t>Activity_1cq29q1</t>
  </si>
  <si>
    <t>request product from warehouse</t>
  </si>
  <si>
    <t>Gateway_06mdtsh::Flow_1883pls::Activity_1cq29q1</t>
  </si>
  <si>
    <t>Flow_0q927ew</t>
  </si>
  <si>
    <t>EndEvent_4075fd9</t>
  </si>
  <si>
    <t>order is rejected</t>
  </si>
  <si>
    <t>Activity_0517fw5::Flow_0q927ew::EndEvent_4075fd9</t>
  </si>
  <si>
    <t>Flow_1yd2jcx</t>
  </si>
  <si>
    <t>Activity_009rw6i</t>
  </si>
  <si>
    <t>confirm order</t>
  </si>
  <si>
    <t>Activity_1cq29q1::Flow_1yd2jcx::Activity_009rw6i</t>
  </si>
  <si>
    <t>Flow_1ajbypa</t>
  </si>
  <si>
    <t>Gateway_1carf8k</t>
  </si>
  <si>
    <t>Activity_009rw6i::Flow_1ajbypa::Gateway_1carf8k</t>
  </si>
  <si>
    <t>Flow_0mlxs6a</t>
  </si>
  <si>
    <t>Activity_0e3kyk5</t>
  </si>
  <si>
    <t>gather shipment adress</t>
  </si>
  <si>
    <t>Gateway_1carf8k::Flow_0mlxs6a::Activity_0e3kyk5</t>
  </si>
  <si>
    <t>Flow_1oqemky</t>
  </si>
  <si>
    <t>Activity_06gtkqb</t>
  </si>
  <si>
    <t>emit the invoice</t>
  </si>
  <si>
    <t>Gateway_1carf8k::Flow_1oqemky::Activity_06gtkqb</t>
  </si>
  <si>
    <t>Flow_1xbd6a2</t>
  </si>
  <si>
    <t>Activity_1d0gws4</t>
  </si>
  <si>
    <t>wait until payment is received</t>
  </si>
  <si>
    <t>Activity_06gtkqb::Flow_1xbd6a2::Activity_1d0gws4</t>
  </si>
  <si>
    <t>Flow_1nztff3</t>
  </si>
  <si>
    <t>Activity_1xykr4v</t>
  </si>
  <si>
    <t>ship product to customer</t>
  </si>
  <si>
    <t>Activity_0e3kyk5::Flow_1nztff3::Activity_1xykr4v</t>
  </si>
  <si>
    <t>Flow_16xr7md</t>
  </si>
  <si>
    <t>Gateway_07615gu</t>
  </si>
  <si>
    <t>Activity_1xykr4v::Flow_16xr7md::Gateway_07615gu</t>
  </si>
  <si>
    <t>Flow_0nwut13</t>
  </si>
  <si>
    <t>Activity_1d0gws4::Flow_0nwut13::Gateway_07615gu</t>
  </si>
  <si>
    <t>Flow_1si61os</t>
  </si>
  <si>
    <t>Activity_0jpp0k2</t>
  </si>
  <si>
    <t>archive order</t>
  </si>
  <si>
    <t>Gateway_07615gu::Flow_1si61os::Activity_0jpp0k2</t>
  </si>
  <si>
    <t>Flow_0qafp8w</t>
  </si>
  <si>
    <t>EndEvent_d43468a</t>
  </si>
  <si>
    <t>order is archived</t>
  </si>
  <si>
    <t>Activity_0jpp0k2::Flow_0qafp8w::EndEvent_d43468a</t>
  </si>
  <si>
    <t>StartEvent_0xpofxl</t>
  </si>
  <si>
    <t>Flow_04jw04y</t>
  </si>
  <si>
    <t>Activity_07ovko7</t>
  </si>
  <si>
    <t>Receive order</t>
  </si>
  <si>
    <t>StartEvent_0xpofxl::Flow_04jw04y::Activity_07ovko7</t>
  </si>
  <si>
    <t>Flow_0okk51k</t>
  </si>
  <si>
    <t>Gateway_0pzqhz3</t>
  </si>
  <si>
    <t>Order in stock?</t>
  </si>
  <si>
    <t>Activity_07ovko7::Flow_0okk51k::Gateway_0pzqhz3</t>
  </si>
  <si>
    <t>Flow_0egzgms</t>
  </si>
  <si>
    <t>Gateway_1dtxu7c</t>
  </si>
  <si>
    <t>Gateway_0pzqhz3::Flow_0egzgms::Gateway_1dtxu7c</t>
  </si>
  <si>
    <t>Flow_1qy2ahh</t>
  </si>
  <si>
    <t>Activity_11by06v</t>
  </si>
  <si>
    <t>Retrieve oder from warehouse</t>
  </si>
  <si>
    <t>Gateway_1dtxu7c::Flow_1qy2ahh::Activity_11by06v</t>
  </si>
  <si>
    <t>Flow_1t5adgi</t>
  </si>
  <si>
    <t>Activity_0vqbswg</t>
  </si>
  <si>
    <t>Gateway_0pzqhz3::Flow_1t5adgi::Activity_0vqbswg</t>
  </si>
  <si>
    <t>Flow_1g03loo</t>
  </si>
  <si>
    <t>EndEvent_d50e999</t>
  </si>
  <si>
    <t>Activity_0vqbswg::Flow_1g03loo::EndEvent_d50e999</t>
  </si>
  <si>
    <t>Flow_1n9ab3e</t>
  </si>
  <si>
    <t>Activity_1mofyeu</t>
  </si>
  <si>
    <t>Confirm order ans ask for shipment adress</t>
  </si>
  <si>
    <t>Gateway_1dtxu7c::Flow_1n9ab3e::Activity_1mofyeu</t>
  </si>
  <si>
    <t>Flow_1uwv1sv</t>
  </si>
  <si>
    <t>Gateway_1b8lt0g</t>
  </si>
  <si>
    <t>Activity_11by06v::Flow_1uwv1sv::Gateway_1b8lt0g</t>
  </si>
  <si>
    <t>Flow_0gyqupr</t>
  </si>
  <si>
    <t>Activity_1mofyeu::Flow_0gyqupr::Gateway_1b8lt0g</t>
  </si>
  <si>
    <t>Flow_005nyoj</t>
  </si>
  <si>
    <t>Gateway_1ntyqw6</t>
  </si>
  <si>
    <t>Gateway_1b8lt0g::Flow_005nyoj::Gateway_1ntyqw6</t>
  </si>
  <si>
    <t>Flow_0b9avzt</t>
  </si>
  <si>
    <t>Activity_1cyngub</t>
  </si>
  <si>
    <t>Ship product to customer</t>
  </si>
  <si>
    <t>Gateway_1ntyqw6::Flow_0b9avzt::Activity_1cyngub</t>
  </si>
  <si>
    <t>Flow_0f8zm4j</t>
  </si>
  <si>
    <t>Activity_19rg73u</t>
  </si>
  <si>
    <t>Emit the invoice</t>
  </si>
  <si>
    <t>Gateway_1ntyqw6::Flow_0f8zm4j::Activity_19rg73u</t>
  </si>
  <si>
    <t>Flow_08uwt3f</t>
  </si>
  <si>
    <t>Activity_1m4y438</t>
  </si>
  <si>
    <t>Await payment</t>
  </si>
  <si>
    <t>Activity_19rg73u::Flow_08uwt3f::Activity_1m4y438</t>
  </si>
  <si>
    <t>Flow_16i5rvp</t>
  </si>
  <si>
    <t>Gateway_0n18qvh</t>
  </si>
  <si>
    <t>Activity_1m4y438::Flow_16i5rvp::Gateway_0n18qvh</t>
  </si>
  <si>
    <t>Flow_1ks2fyi</t>
  </si>
  <si>
    <t>Activity_1cyngub::Flow_1ks2fyi::Gateway_0n18qvh</t>
  </si>
  <si>
    <t>Flow_0uktm71</t>
  </si>
  <si>
    <t>Activity_11ctbjx</t>
  </si>
  <si>
    <t>Archive the order</t>
  </si>
  <si>
    <t>Gateway_0n18qvh::Flow_0uktm71::Activity_11ctbjx</t>
  </si>
  <si>
    <t>Flow_011adyd</t>
  </si>
  <si>
    <t>EndEvent_9ca2a10</t>
  </si>
  <si>
    <t>Activity_11ctbjx::Flow_011adyd::EndEvent_9ca2a10</t>
  </si>
  <si>
    <t>StartEvent_2b02092</t>
  </si>
  <si>
    <t>Purchase order received from customer</t>
  </si>
  <si>
    <t>Flow_91769bf</t>
  </si>
  <si>
    <t>Activity_d95216b</t>
  </si>
  <si>
    <t>Check product stock</t>
  </si>
  <si>
    <t>StartEvent_2b02092::Flow_91769bf::Activity_d95216b</t>
  </si>
  <si>
    <t>Flow_62094d0</t>
  </si>
  <si>
    <t>Gateway_5c29f2b</t>
  </si>
  <si>
    <t>Is product in stock?</t>
  </si>
  <si>
    <t>Activity_d95216b::Flow_62094d0::Gateway_5c29f2b</t>
  </si>
  <si>
    <t>Activity_7c83d7b</t>
  </si>
  <si>
    <t>Request product from warehouse</t>
  </si>
  <si>
    <t>Flow_6ec3f75</t>
  </si>
  <si>
    <t>Activity_561c0f7</t>
  </si>
  <si>
    <t>Activity_7c83d7b::Flow_6ec3f75::Activity_561c0f7</t>
  </si>
  <si>
    <t>Flow_f1c322f</t>
  </si>
  <si>
    <t>Activity_22af969</t>
  </si>
  <si>
    <t>Obtain shipment address from customer</t>
  </si>
  <si>
    <t>Activity_561c0f7::Flow_f1c322f::Activity_22af969</t>
  </si>
  <si>
    <t>Flow_b134bf8</t>
  </si>
  <si>
    <t>Activity_bc0a0d8</t>
  </si>
  <si>
    <t>Activity_22af969::Flow_b134bf8::Activity_bc0a0d8</t>
  </si>
  <si>
    <t>Flow_1e9610c</t>
  </si>
  <si>
    <t>Gateway_63b6e36</t>
  </si>
  <si>
    <t>Activity_bc0a0d8::Flow_1e9610c::Gateway_63b6e36</t>
  </si>
  <si>
    <t>Activity_635912e</t>
  </si>
  <si>
    <t>Emit invoice for order</t>
  </si>
  <si>
    <t>Flow_56f5fc0</t>
  </si>
  <si>
    <t>Gateway_8c82abc</t>
  </si>
  <si>
    <t>Activity_635912e::Flow_56f5fc0::Gateway_8c82abc</t>
  </si>
  <si>
    <t>Flow_9507119</t>
  </si>
  <si>
    <t>Gateway_63b6e36::Flow_9507119::Activity_635912e</t>
  </si>
  <si>
    <t>Activity_6b6868f</t>
  </si>
  <si>
    <t>Receive and record payment for order</t>
  </si>
  <si>
    <t>Flow_c09b067</t>
  </si>
  <si>
    <t>Activity_6b6868f::Flow_c09b067::Gateway_8c82abc</t>
  </si>
  <si>
    <t>Flow_8f1be07</t>
  </si>
  <si>
    <t>Gateway_63b6e36::Flow_8f1be07::Activity_6b6868f</t>
  </si>
  <si>
    <t>Flow_70bb688</t>
  </si>
  <si>
    <t>Activity_548ced5</t>
  </si>
  <si>
    <t>Archive completed order with shipment and payment details</t>
  </si>
  <si>
    <t>Gateway_8c82abc::Flow_70bb688::Activity_548ced5</t>
  </si>
  <si>
    <t>Flow_dbfb81b</t>
  </si>
  <si>
    <t>EndEvent_6864ec0</t>
  </si>
  <si>
    <t>Order archived</t>
  </si>
  <si>
    <t>Activity_548ced5::Flow_dbfb81b::EndEvent_6864ec0</t>
  </si>
  <si>
    <t>Flow_d56e0c1</t>
  </si>
  <si>
    <t>Gateway_5c29f2b::Flow_d56e0c1::Activity_7c83d7b</t>
  </si>
  <si>
    <t>Activity_29a0b92</t>
  </si>
  <si>
    <t>Reject order due to stock unavailability</t>
  </si>
  <si>
    <t>Flow_c71cd2f</t>
  </si>
  <si>
    <t>EndEvent_b09b638</t>
  </si>
  <si>
    <t>Activity_29a0b92::Flow_c71cd2f::EndEvent_b09b638</t>
  </si>
  <si>
    <t>Flow_d4152d6</t>
  </si>
  <si>
    <t>Gateway_5c29f2b::Flow_d4152d6::Activity_29a0b92</t>
  </si>
  <si>
    <t>order_to_cash_process</t>
  </si>
  <si>
    <t>StartEvent_1utux8x</t>
  </si>
  <si>
    <t>Flow_1im7nd7</t>
  </si>
  <si>
    <t>Activity_16lxjw3</t>
  </si>
  <si>
    <t>StartEvent_1utux8x::Flow_1im7nd7::Activity_16lxjw3</t>
  </si>
  <si>
    <t>Flow_1mheyl7</t>
  </si>
  <si>
    <t>Gateway_0zh1c25</t>
  </si>
  <si>
    <t>Activity_16lxjw3::Flow_1mheyl7::Gateway_0zh1c25</t>
  </si>
  <si>
    <t>Flow_1sgmr47</t>
  </si>
  <si>
    <t>Activity_1ghvq5f</t>
  </si>
  <si>
    <t>Check raw materials availability</t>
  </si>
  <si>
    <t>Gateway_0zh1c25::Flow_1sgmr47::Activity_1ghvq5f</t>
  </si>
  <si>
    <t>Flow_0nn2ki3</t>
  </si>
  <si>
    <t>Gateway_0id10tg</t>
  </si>
  <si>
    <t>inclusiveGateway</t>
  </si>
  <si>
    <t>Activity_1ghvq5f::Flow_0nn2ki3::Gateway_0id10tg</t>
  </si>
  <si>
    <t>Flow_1j2g53b</t>
  </si>
  <si>
    <t>Activity_0clagtk</t>
  </si>
  <si>
    <t>Request raw materials from Supplier 1</t>
  </si>
  <si>
    <t>Gateway_0id10tg::Flow_1j2g53b::Activity_0clagtk</t>
  </si>
  <si>
    <t>Flow_1lu5z6p</t>
  </si>
  <si>
    <t>Activity_1b5m1af</t>
  </si>
  <si>
    <t>Obtain raw materials from Supplier 1</t>
  </si>
  <si>
    <t>Activity_0clagtk::Flow_1lu5z6p::Activity_1b5m1af</t>
  </si>
  <si>
    <t>Flow_1wambjv</t>
  </si>
  <si>
    <t>Activity_0ugpcd2</t>
  </si>
  <si>
    <t>Request raw materials from Supplier 2</t>
  </si>
  <si>
    <t>Gateway_0id10tg::Flow_1wambjv::Activity_0ugpcd2</t>
  </si>
  <si>
    <t>Flow_03sd7cd</t>
  </si>
  <si>
    <t>Activity_1fl6y6u</t>
  </si>
  <si>
    <t>Obtain raw materials from Supplier 2</t>
  </si>
  <si>
    <t>Activity_0ugpcd2::Flow_03sd7cd::Activity_1fl6y6u</t>
  </si>
  <si>
    <t>Flow_1jrpjfd</t>
  </si>
  <si>
    <t>Gateway_149zmrs</t>
  </si>
  <si>
    <t>Activity_1b5m1af::Flow_1jrpjfd::Gateway_149zmrs</t>
  </si>
  <si>
    <t>Flow_1hocnzn</t>
  </si>
  <si>
    <t>Activity_1fl6y6u::Flow_1hocnzn::Gateway_149zmrs</t>
  </si>
  <si>
    <t>Flow_1h246dy</t>
  </si>
  <si>
    <t>Activity_1n6tnn1</t>
  </si>
  <si>
    <t>Manufacture product</t>
  </si>
  <si>
    <t>Gateway_149zmrs::Flow_1h246dy::Activity_1n6tnn1</t>
  </si>
  <si>
    <t>Flow_072l28e</t>
  </si>
  <si>
    <t>Activity_1810a74</t>
  </si>
  <si>
    <t>Gateway_0zh1c25::Flow_072l28e::Activity_1810a74</t>
  </si>
  <si>
    <t>Flow_0lczgnz</t>
  </si>
  <si>
    <t>Gateway_00tk40n</t>
  </si>
  <si>
    <t>Activity_1810a74::Flow_0lczgnz::Gateway_00tk40n</t>
  </si>
  <si>
    <t>Flow_1e0zmvg</t>
  </si>
  <si>
    <t>Activity_050gj08</t>
  </si>
  <si>
    <t>Gateway_00tk40n::Flow_1e0zmvg::Activity_050gj08</t>
  </si>
  <si>
    <t>Flow_1oruxpv</t>
  </si>
  <si>
    <t>Activity_1n6tnn1::Flow_1oruxpv::Gateway_00tk40n</t>
  </si>
  <si>
    <t>Flow_0y86dcn</t>
  </si>
  <si>
    <t>Gateway_1u9wjot</t>
  </si>
  <si>
    <t>Activity_050gj08::Flow_0y86dcn::Gateway_1u9wjot</t>
  </si>
  <si>
    <t>Flow_19jzhy7</t>
  </si>
  <si>
    <t>Activity_181hkt6</t>
  </si>
  <si>
    <t>Gateway_1u9wjot::Flow_19jzhy7::Activity_181hkt6</t>
  </si>
  <si>
    <t>Flow_0gkjjv4</t>
  </si>
  <si>
    <t>Activity_19em9tg</t>
  </si>
  <si>
    <t>Activity_181hkt6::Flow_0gkjjv4::Activity_19em9tg</t>
  </si>
  <si>
    <t>Flow_0z7kk9y</t>
  </si>
  <si>
    <t>Activity_0tcwlul</t>
  </si>
  <si>
    <t>Gateway_1u9wjot::Flow_0z7kk9y::Activity_0tcwlul</t>
  </si>
  <si>
    <t>Flow_1db92kh</t>
  </si>
  <si>
    <t>Activity_0uikx0x</t>
  </si>
  <si>
    <t>Activity_0tcwlul::Flow_1db92kh::Activity_0uikx0x</t>
  </si>
  <si>
    <t>Flow_1kwcypd</t>
  </si>
  <si>
    <t>Gateway_0dj3pua</t>
  </si>
  <si>
    <t>Activity_19em9tg::Flow_1kwcypd::Gateway_0dj3pua</t>
  </si>
  <si>
    <t>Flow_1un9okl</t>
  </si>
  <si>
    <t>Activity_0uikx0x::Flow_1un9okl::Gateway_0dj3pua</t>
  </si>
  <si>
    <t>Flow_00whw9d</t>
  </si>
  <si>
    <t>Activity_1i0r8h6</t>
  </si>
  <si>
    <t>Gateway_0dj3pua::Flow_00whw9d::Activity_1i0r8h6</t>
  </si>
  <si>
    <t>Flow_0s3i3jr</t>
  </si>
  <si>
    <t>Event_0hndko0</t>
  </si>
  <si>
    <t>Activity_1i0r8h6::Flow_0s3i3jr::Event_0hndko0</t>
  </si>
  <si>
    <t>StartEvent_16747to</t>
  </si>
  <si>
    <t>Flow_0ev6afj</t>
  </si>
  <si>
    <t>Activity_1t2m1in</t>
  </si>
  <si>
    <t>Check warehouse</t>
  </si>
  <si>
    <t>StartEvent_16747to::Flow_0ev6afj::Activity_1t2m1in</t>
  </si>
  <si>
    <t>Flow_1jafwzk</t>
  </si>
  <si>
    <t>Gateway_1j7a5wy</t>
  </si>
  <si>
    <t>Activity_1t2m1in::Flow_1jafwzk::Gateway_1j7a5wy</t>
  </si>
  <si>
    <t>Flow_0070rx1</t>
  </si>
  <si>
    <t>Activity_1re0m94</t>
  </si>
  <si>
    <t>Retreive product from warehouse</t>
  </si>
  <si>
    <t>Gateway_1j7a5wy::Flow_0070rx1::Activity_1re0m94</t>
  </si>
  <si>
    <t>Flow_1po21ef</t>
  </si>
  <si>
    <t>Activity_06czuko</t>
  </si>
  <si>
    <t>Check availabilty of raw material</t>
  </si>
  <si>
    <t>Gateway_1j7a5wy::Flow_1po21ef::Activity_06czuko</t>
  </si>
  <si>
    <t>Flow_1szf5tr</t>
  </si>
  <si>
    <t>Gateway_1yg4f36</t>
  </si>
  <si>
    <t>Activity_06czuko::Flow_1szf5tr::Gateway_1yg4f36</t>
  </si>
  <si>
    <t>Flow_067ewp3</t>
  </si>
  <si>
    <t>Activity_0xvc0nm</t>
  </si>
  <si>
    <t>order from supplier 1</t>
  </si>
  <si>
    <t>Gateway_1yg4f36::Flow_067ewp3::Activity_0xvc0nm</t>
  </si>
  <si>
    <t>Flow_11n232z</t>
  </si>
  <si>
    <t>Activity_0u3r7yr</t>
  </si>
  <si>
    <t>order from supplier 2</t>
  </si>
  <si>
    <t>Gateway_1yg4f36::Flow_11n232z::Activity_0u3r7yr</t>
  </si>
  <si>
    <t>Flow_0d830oe</t>
  </si>
  <si>
    <t>Gateway_158alwe</t>
  </si>
  <si>
    <t>Activity_0u3r7yr::Flow_0d830oe::Gateway_158alwe</t>
  </si>
  <si>
    <t>Flow_0dmatk0</t>
  </si>
  <si>
    <t>Activity_0xvc0nm::Flow_0dmatk0::Gateway_158alwe</t>
  </si>
  <si>
    <t>Flow_1cfz4va</t>
  </si>
  <si>
    <t>Activity_1loc4o3</t>
  </si>
  <si>
    <t>wait for raw material</t>
  </si>
  <si>
    <t>Gateway_158alwe::Flow_1cfz4va::Activity_1loc4o3</t>
  </si>
  <si>
    <t>Flow_03trd2v</t>
  </si>
  <si>
    <t>Activity_0bq3u0v</t>
  </si>
  <si>
    <t>manufacture product</t>
  </si>
  <si>
    <t>Activity_1loc4o3::Flow_03trd2v::Activity_0bq3u0v</t>
  </si>
  <si>
    <t>Flow_0cdo8tt</t>
  </si>
  <si>
    <t>Gateway_196wmxf</t>
  </si>
  <si>
    <t>Activity_0bq3u0v::Flow_0cdo8tt::Gateway_196wmxf</t>
  </si>
  <si>
    <t>Flow_0vimbiw</t>
  </si>
  <si>
    <t>Activity_1re0m94::Flow_0vimbiw::Gateway_196wmxf</t>
  </si>
  <si>
    <t>Flow_13gqan6</t>
  </si>
  <si>
    <t>Activity_1jo4p9b</t>
  </si>
  <si>
    <t>Gateway_196wmxf::Flow_13gqan6::Activity_1jo4p9b</t>
  </si>
  <si>
    <t>Flow_1xgj012</t>
  </si>
  <si>
    <t>Gateway_0jzmgvg</t>
  </si>
  <si>
    <t>Activity_1jo4p9b::Flow_1xgj012::Gateway_0jzmgvg</t>
  </si>
  <si>
    <t>Flow_0lhcned</t>
  </si>
  <si>
    <t>Activity_0d79fmn</t>
  </si>
  <si>
    <t>get shipment adress</t>
  </si>
  <si>
    <t>Gateway_0jzmgvg::Flow_0lhcned::Activity_0d79fmn</t>
  </si>
  <si>
    <t>Flow_1h232b1</t>
  </si>
  <si>
    <t>Activity_1vn035o</t>
  </si>
  <si>
    <t>Gateway_0jzmgvg::Flow_1h232b1::Activity_1vn035o</t>
  </si>
  <si>
    <t>Flow_1k25n3x</t>
  </si>
  <si>
    <t>Activity_1japwc5</t>
  </si>
  <si>
    <t>wait for payment</t>
  </si>
  <si>
    <t>Activity_1vn035o::Flow_1k25n3x::Activity_1japwc5</t>
  </si>
  <si>
    <t>Flow_1dm27nl</t>
  </si>
  <si>
    <t>Activity_1dm540g</t>
  </si>
  <si>
    <t>ship products</t>
  </si>
  <si>
    <t>Activity_0d79fmn::Flow_1dm27nl::Activity_1dm540g</t>
  </si>
  <si>
    <t>Flow_01nrisn</t>
  </si>
  <si>
    <t>Gateway_1d00shx</t>
  </si>
  <si>
    <t>Activity_1dm540g::Flow_01nrisn::Gateway_1d00shx</t>
  </si>
  <si>
    <t>Flow_1vqvz01</t>
  </si>
  <si>
    <t>Activity_1japwc5::Flow_1vqvz01::Gateway_1d00shx</t>
  </si>
  <si>
    <t>Flow_0sv2pva</t>
  </si>
  <si>
    <t>Activity_1ik2llx</t>
  </si>
  <si>
    <t>Gateway_1d00shx::Flow_0sv2pva::Activity_1ik2llx</t>
  </si>
  <si>
    <t>Flow_1036s2w</t>
  </si>
  <si>
    <t>Event_1opzj75</t>
  </si>
  <si>
    <t>Activity_1ik2llx::Flow_1036s2w::Event_1opzj75</t>
  </si>
  <si>
    <t>StartEvent_0yra6sk</t>
  </si>
  <si>
    <t>Flow_187bend</t>
  </si>
  <si>
    <t>Activity_154u1lu</t>
  </si>
  <si>
    <t>Receive order from customer</t>
  </si>
  <si>
    <t>StartEvent_0yra6sk::Flow_187bend::Activity_154u1lu</t>
  </si>
  <si>
    <t>Flow_084pp2m</t>
  </si>
  <si>
    <t>Gateway_0r8hqac</t>
  </si>
  <si>
    <t>Activity_154u1lu::Flow_084pp2m::Gateway_0r8hqac</t>
  </si>
  <si>
    <t>Flow_111dj4a</t>
  </si>
  <si>
    <t>Activity_1leqb5h</t>
  </si>
  <si>
    <t>Get order from warehouse</t>
  </si>
  <si>
    <t>Gateway_0r8hqac::Flow_111dj4a::Activity_1leqb5h</t>
  </si>
  <si>
    <t>Flow_06xg7ju</t>
  </si>
  <si>
    <t>Activity_16i5yk4</t>
  </si>
  <si>
    <t>Check requirements for manufacturing</t>
  </si>
  <si>
    <t>Gateway_0r8hqac::Flow_06xg7ju::Activity_16i5yk4</t>
  </si>
  <si>
    <t>Flow_00kxkq2</t>
  </si>
  <si>
    <t>Gateway_002hr2z</t>
  </si>
  <si>
    <t>Activity_16i5yk4::Flow_00kxkq2::Gateway_002hr2z</t>
  </si>
  <si>
    <t>Flow_1u5xvk7</t>
  </si>
  <si>
    <t>Activity_1qh27dx</t>
  </si>
  <si>
    <t>Order material from supplier 1</t>
  </si>
  <si>
    <t>Gateway_002hr2z::Flow_1u5xvk7::Activity_1qh27dx</t>
  </si>
  <si>
    <t>Flow_1i5u5bn</t>
  </si>
  <si>
    <t>Activity_1khlzds</t>
  </si>
  <si>
    <t>Order material from supplier 2</t>
  </si>
  <si>
    <t>Gateway_002hr2z::Flow_1i5u5bn::Activity_1khlzds</t>
  </si>
  <si>
    <t>Flow_0i26x4j</t>
  </si>
  <si>
    <t>Gateway_0wm7h2e</t>
  </si>
  <si>
    <t>Activity_1khlzds::Flow_0i26x4j::Gateway_0wm7h2e</t>
  </si>
  <si>
    <t>Flow_1cdughb</t>
  </si>
  <si>
    <t>Activity_1qh27dx::Flow_1cdughb::Gateway_0wm7h2e</t>
  </si>
  <si>
    <t>Flow_1ylqcrw</t>
  </si>
  <si>
    <t>Activity_0008npv</t>
  </si>
  <si>
    <t>Wait for delivery</t>
  </si>
  <si>
    <t>Gateway_0wm7h2e::Flow_1ylqcrw::Activity_0008npv</t>
  </si>
  <si>
    <t>Flow_1w4vi49</t>
  </si>
  <si>
    <t>Activity_06jerv1</t>
  </si>
  <si>
    <t>Activity_0008npv::Flow_1w4vi49::Activity_06jerv1</t>
  </si>
  <si>
    <t>Flow_0dfalk7</t>
  </si>
  <si>
    <t>Gateway_1qrxyy5</t>
  </si>
  <si>
    <t>Activity_06jerv1::Flow_0dfalk7::Gateway_1qrxyy5</t>
  </si>
  <si>
    <t>Flow_073st6o</t>
  </si>
  <si>
    <t>Activity_1leqb5h::Flow_073st6o::Gateway_1qrxyy5</t>
  </si>
  <si>
    <t>Gateway_0bo4xml</t>
  </si>
  <si>
    <t>Flow_16cvluo</t>
  </si>
  <si>
    <t>Activity_19d8xvy</t>
  </si>
  <si>
    <t>Gateway_0bo4xml::Flow_16cvluo::Activity_19d8xvy</t>
  </si>
  <si>
    <t>Flow_0fz58tt</t>
  </si>
  <si>
    <t>Gateway_1qrxyy5::Flow_0fz58tt::Gateway_0bo4xml</t>
  </si>
  <si>
    <t>Flow_1mddcx1</t>
  </si>
  <si>
    <t>Activity_1053t8u</t>
  </si>
  <si>
    <t>Request payment</t>
  </si>
  <si>
    <t>Gateway_0bo4xml::Flow_1mddcx1::Activity_1053t8u</t>
  </si>
  <si>
    <t>Flow_1hwkxzj</t>
  </si>
  <si>
    <t>Gateway_1ifrcyk</t>
  </si>
  <si>
    <t>Activity_19d8xvy::Flow_1hwkxzj::Gateway_1ifrcyk</t>
  </si>
  <si>
    <t>Flow_08l8p1a</t>
  </si>
  <si>
    <t>Activity_1053t8u::Flow_08l8p1a::Gateway_1ifrcyk</t>
  </si>
  <si>
    <t>Flow_02headw</t>
  </si>
  <si>
    <t>Gateway_0nuwacm</t>
  </si>
  <si>
    <t>Payment made?</t>
  </si>
  <si>
    <t>Gateway_1ifrcyk::Flow_02headw::Gateway_0nuwacm</t>
  </si>
  <si>
    <t>Flow_1nwbt8a</t>
  </si>
  <si>
    <t>Activity_1vdeqrd</t>
  </si>
  <si>
    <t>Gateway_0nuwacm::Flow_1nwbt8a::Activity_1vdeqrd</t>
  </si>
  <si>
    <t>Flow_10f4jxs</t>
  </si>
  <si>
    <t>Activity_1gzy0kb</t>
  </si>
  <si>
    <t>Send out reminder</t>
  </si>
  <si>
    <t>Gateway_0nuwacm::Flow_10f4jxs::Activity_1gzy0kb</t>
  </si>
  <si>
    <t>Flow_04lqj19</t>
  </si>
  <si>
    <t>Gateway_1nklg3p</t>
  </si>
  <si>
    <t>Activity_1gzy0kb::Flow_04lqj19::Gateway_1nklg3p</t>
  </si>
  <si>
    <t>Flow_12f8bse</t>
  </si>
  <si>
    <t>Activity_0r76uvx</t>
  </si>
  <si>
    <t>Cancel the order</t>
  </si>
  <si>
    <t>Gateway_1nklg3p::Flow_12f8bse::Activity_0r76uvx</t>
  </si>
  <si>
    <t>Flow_1askb6b</t>
  </si>
  <si>
    <t>Event_04swxls</t>
  </si>
  <si>
    <t>Activity_0r76uvx::Flow_1askb6b::Event_04swxls</t>
  </si>
  <si>
    <t>Flow_1tw89zs</t>
  </si>
  <si>
    <t>Activity_1bkdb9a</t>
  </si>
  <si>
    <t>Ask for shipment adress</t>
  </si>
  <si>
    <t>Activity_1vdeqrd::Flow_1tw89zs::Activity_1bkdb9a</t>
  </si>
  <si>
    <t>Flow_0gr0xvh</t>
  </si>
  <si>
    <t>Activity_1txcqg0</t>
  </si>
  <si>
    <t>Send product to customer</t>
  </si>
  <si>
    <t>Activity_1bkdb9a::Flow_0gr0xvh::Activity_1txcqg0</t>
  </si>
  <si>
    <t>Flow_06q3pp3</t>
  </si>
  <si>
    <t>Activity_0vl6q4e</t>
  </si>
  <si>
    <t>Check receipt of shipment at the customer</t>
  </si>
  <si>
    <t>Activity_1txcqg0::Flow_06q3pp3::Activity_0vl6q4e</t>
  </si>
  <si>
    <t>Flow_08qgswg</t>
  </si>
  <si>
    <t>Event_1393cji</t>
  </si>
  <si>
    <t>Activity_0vl6q4e::Flow_08qgswg::Event_1393cji</t>
  </si>
  <si>
    <t>Flow_1xj3x9r</t>
  </si>
  <si>
    <t>Gateway_1nklg3p::Flow_1xj3x9r::Activity_1vdeqrd</t>
  </si>
  <si>
    <t>StartEvent_ea2b267</t>
  </si>
  <si>
    <t>Flow_1c72772</t>
  </si>
  <si>
    <t>Activity_d5ff99b</t>
  </si>
  <si>
    <t>Record order details in order management system</t>
  </si>
  <si>
    <t>StartEvent_ea2b267::Flow_1c72772::Activity_d5ff99b</t>
  </si>
  <si>
    <t>Flow_94ba2b4</t>
  </si>
  <si>
    <t>Activity_1111eee</t>
  </si>
  <si>
    <t>Check product availability in stock</t>
  </si>
  <si>
    <t>Activity_d5ff99b::Flow_94ba2b4::Activity_1111eee</t>
  </si>
  <si>
    <t>Flow_b5e16d0</t>
  </si>
  <si>
    <t>Gateway_9836bcb</t>
  </si>
  <si>
    <t>Activity_1111eee::Flow_b5e16d0::Gateway_9836bcb</t>
  </si>
  <si>
    <t>Activity_88b239d</t>
  </si>
  <si>
    <t>Flow_6ab35d6</t>
  </si>
  <si>
    <t>Activity_831aecc</t>
  </si>
  <si>
    <t>Confirm order for in-stock product</t>
  </si>
  <si>
    <t>Activity_88b239d::Flow_6ab35d6::Activity_831aecc</t>
  </si>
  <si>
    <t>Flow_c220793</t>
  </si>
  <si>
    <t>Gateway_3bdb7ed</t>
  </si>
  <si>
    <t>Activity_831aecc::Flow_c220793::Gateway_3bdb7ed</t>
  </si>
  <si>
    <t>Flow_ead48eb</t>
  </si>
  <si>
    <t>Gateway_9836bcb::Flow_ead48eb::Activity_88b239d</t>
  </si>
  <si>
    <t>Activity_b6da91e</t>
  </si>
  <si>
    <t>Check availability of required raw materials</t>
  </si>
  <si>
    <t>Flow_8a24dd6</t>
  </si>
  <si>
    <t>Gateway_755624c</t>
  </si>
  <si>
    <t>Are required raw materials available?</t>
  </si>
  <si>
    <t>Activity_b6da91e::Flow_8a24dd6::Gateway_755624c</t>
  </si>
  <si>
    <t>Activity_b4a549d</t>
  </si>
  <si>
    <t>Order required raw materials from suppliers</t>
  </si>
  <si>
    <t>Flow_876889a</t>
  </si>
  <si>
    <t>Activity_512d3ec</t>
  </si>
  <si>
    <t>Receive raw materials from suppliers</t>
  </si>
  <si>
    <t>Activity_b4a549d::Flow_876889a::Activity_512d3ec</t>
  </si>
  <si>
    <t>Flow_7d3c5c6</t>
  </si>
  <si>
    <t>Activity_9c52fc8</t>
  </si>
  <si>
    <t>Activity_512d3ec::Flow_7d3c5c6::Activity_9c52fc8</t>
  </si>
  <si>
    <t>Flow_0299980</t>
  </si>
  <si>
    <t>Activity_610b56d</t>
  </si>
  <si>
    <t>Confirm order for manufactured product</t>
  </si>
  <si>
    <t>Activity_9c52fc8::Flow_0299980::Activity_610b56d</t>
  </si>
  <si>
    <t>Flow_fbb1281</t>
  </si>
  <si>
    <t>Activity_610b56d::Flow_fbb1281::Gateway_3bdb7ed</t>
  </si>
  <si>
    <t>Flow_98d409c</t>
  </si>
  <si>
    <t>Gateway_755624c::Flow_98d409c::Activity_b4a549d</t>
  </si>
  <si>
    <t>Flow_a8625b9</t>
  </si>
  <si>
    <t>Gateway_755624c::Flow_a8625b9::Activity_b6da91e</t>
  </si>
  <si>
    <t>Flow_4669613</t>
  </si>
  <si>
    <t>Gateway_9836bcb::Flow_4669613::Activity_b6da91e</t>
  </si>
  <si>
    <t>Flow_f22182e</t>
  </si>
  <si>
    <t>Activity_db68de7</t>
  </si>
  <si>
    <t>Gateway_3bdb7ed::Flow_f22182e::Activity_db68de7</t>
  </si>
  <si>
    <t>Flow_5ef6293</t>
  </si>
  <si>
    <t>Gateway_78b022b</t>
  </si>
  <si>
    <t>Activity_db68de7::Flow_5ef6293::Gateway_78b022b</t>
  </si>
  <si>
    <t>Activity_29948b8</t>
  </si>
  <si>
    <t>Flow_cb0e6ed</t>
  </si>
  <si>
    <t>Gateway_11c2d98</t>
  </si>
  <si>
    <t>Activity_29948b8::Flow_cb0e6ed::Gateway_11c2d98</t>
  </si>
  <si>
    <t>Flow_af8f72e</t>
  </si>
  <si>
    <t>Gateway_78b022b::Flow_af8f72e::Activity_29948b8</t>
  </si>
  <si>
    <t>Activity_cf11483</t>
  </si>
  <si>
    <t>Issue invoice to customer</t>
  </si>
  <si>
    <t>Flow_0695b02</t>
  </si>
  <si>
    <t>Activity_e3597d2</t>
  </si>
  <si>
    <t>Receive payment for order</t>
  </si>
  <si>
    <t>Activity_cf11483::Flow_0695b02::Activity_e3597d2</t>
  </si>
  <si>
    <t>Flow_f19ffe3</t>
  </si>
  <si>
    <t>Activity_e3597d2::Flow_f19ffe3::Gateway_11c2d98</t>
  </si>
  <si>
    <t>Flow_b48dc92</t>
  </si>
  <si>
    <t>Gateway_78b022b::Flow_b48dc92::Activity_cf11483</t>
  </si>
  <si>
    <t>Flow_253639d</t>
  </si>
  <si>
    <t>Activity_a63a517</t>
  </si>
  <si>
    <t>Gateway_11c2d98::Flow_253639d::Activity_a63a517</t>
  </si>
  <si>
    <t>Flow_99c2e51</t>
  </si>
  <si>
    <t>EndEvent_7f021a1</t>
  </si>
  <si>
    <t>Order fulfillment completed</t>
  </si>
  <si>
    <t>Activity_a63a517::Flow_99c2e51::EndEvent_7f021a1</t>
  </si>
  <si>
    <t>Human 1</t>
  </si>
  <si>
    <t>Human 2</t>
  </si>
  <si>
    <t>LLM 5.1</t>
  </si>
  <si>
    <t>Loan application</t>
  </si>
  <si>
    <t>Order fulfillment</t>
  </si>
  <si>
    <t>Order to cash</t>
  </si>
  <si>
    <t>Average</t>
  </si>
  <si>
    <t>Precision</t>
  </si>
  <si>
    <t>Recall</t>
  </si>
  <si>
    <t>Jaccard-Index</t>
  </si>
  <si>
    <t xml:space="preserve"> </t>
  </si>
  <si>
    <t>TP</t>
  </si>
  <si>
    <t>FP</t>
  </si>
  <si>
    <t>FN</t>
  </si>
  <si>
    <t>n/a</t>
  </si>
  <si>
    <t>Human Average</t>
  </si>
  <si>
    <t>Flow_a0f3d61</t>
  </si>
  <si>
    <t>Activity_5bfc80f</t>
  </si>
  <si>
    <t>StartEvent_2b02092::Flow_a0f3d61::Activity_5bfc80f</t>
  </si>
  <si>
    <t>Flow_b74d757</t>
  </si>
  <si>
    <t>Gateway_25eb8cf</t>
  </si>
  <si>
    <t>Activity_5bfc80f::Flow_b74d757::Gateway_25eb8cf</t>
  </si>
  <si>
    <t>Activity_ce54885</t>
  </si>
  <si>
    <t>Flow_cb09c09</t>
  </si>
  <si>
    <t>Gateway_f7e03f2</t>
  </si>
  <si>
    <t>Activity_ce54885::Flow_cb09c09::Gateway_f7e03f2</t>
  </si>
  <si>
    <t>Flow_74252df</t>
  </si>
  <si>
    <t>Gateway_25eb8cf::Flow_74252df::Activity_ce54885</t>
  </si>
  <si>
    <t>Activity_89bb31c</t>
  </si>
  <si>
    <t>Flow_56e6e98</t>
  </si>
  <si>
    <t>Activity_89bb31c::Flow_56e6e98::Gateway_f7e03f2</t>
  </si>
  <si>
    <t>Flow_2124548</t>
  </si>
  <si>
    <t>Gateway_25eb8cf::Flow_2124548::Activity_89bb31c</t>
  </si>
  <si>
    <t>Flow_c3bd3fd</t>
  </si>
  <si>
    <t>Activity_75ead34</t>
  </si>
  <si>
    <t>Gateway_f7e03f2::Flow_c3bd3fd::Activity_75ead34</t>
  </si>
  <si>
    <t>Flow_568e114</t>
  </si>
  <si>
    <t>Gateway_ece1d53</t>
  </si>
  <si>
    <t>Activity_75ead34::Flow_568e114::Gateway_ece1d53</t>
  </si>
  <si>
    <t>Activity_cb7e88f</t>
  </si>
  <si>
    <t>Flow_bb68a3f</t>
  </si>
  <si>
    <t>EndEvent_8dd7f96</t>
  </si>
  <si>
    <t>Activity_cb7e88f::Flow_bb68a3f::EndEvent_8dd7f96</t>
  </si>
  <si>
    <t>Flow_24b824d</t>
  </si>
  <si>
    <t>Gateway_ece1d53::Flow_24b824d::Activity_cb7e88f</t>
  </si>
  <si>
    <t>Activity_945d8b9</t>
  </si>
  <si>
    <t>Flow_303537e</t>
  </si>
  <si>
    <t>Activity_3523238</t>
  </si>
  <si>
    <t>Activity_945d8b9::Flow_303537e::Activity_3523238</t>
  </si>
  <si>
    <t>Flow_8d981d4</t>
  </si>
  <si>
    <t>EndEvent_d63940e</t>
  </si>
  <si>
    <t>Activity_3523238::Flow_8d981d4::EndEvent_d63940e</t>
  </si>
  <si>
    <t>Flow_b341a32</t>
  </si>
  <si>
    <t>Gateway_ece1d53::Flow_b341a32::Activity_945d8b9</t>
  </si>
  <si>
    <t>weil laut klievtsova das fehlen von zusammenführenden gateways nicht als fehler angesehen wird</t>
  </si>
  <si>
    <t>Metrics Loan Application Process</t>
  </si>
  <si>
    <t>Metrics Order Fulfillment Process</t>
  </si>
  <si>
    <t>Metrics Order to Cash Process</t>
  </si>
  <si>
    <t>type</t>
  </si>
  <si>
    <t>name</t>
  </si>
  <si>
    <t>id</t>
  </si>
  <si>
    <t>Task Precision</t>
  </si>
  <si>
    <t>Task Recall</t>
  </si>
  <si>
    <t>Task Jaccard-Index</t>
  </si>
  <si>
    <t>Task Metrics Loan Application Process</t>
  </si>
  <si>
    <t>Task Metrics Order Fulfillment Process</t>
  </si>
  <si>
    <t>Task Metrics Order to Cash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</si>
</sst>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91B0-04B8-4513-BCED-93FBE5D1A4B0}">
  <dimension ref="A1:L83"/>
  <sheetViews>
    <sheetView zoomScale="85" zoomScaleNormal="85" workbookViewId="0">
      <pane ySplit="1" topLeftCell="A2" activePane="bottomLeft" state="frozen"/>
      <selection pane="bottomLeft" activeCell="B4" sqref="B4"/>
    </sheetView>
  </sheetViews>
  <sheetFormatPr baseColWidth="10" defaultRowHeight="15" x14ac:dyDescent="0.25"/>
  <cols>
    <col min="3" max="3" width="18.42578125" bestFit="1" customWidth="1"/>
    <col min="4" max="4" width="16.5703125" bestFit="1" customWidth="1"/>
    <col min="5" max="5" width="22.85546875" customWidth="1"/>
    <col min="6" max="6" width="14.140625" bestFit="1" customWidth="1"/>
    <col min="7" max="7" width="18.42578125" bestFit="1" customWidth="1"/>
    <col min="8" max="8" width="16.5703125" bestFit="1" customWidth="1"/>
    <col min="9" max="9" width="24" customWidth="1"/>
    <col min="10" max="10" width="48.7109375" customWidth="1"/>
    <col min="11" max="11" width="11.42578125" style="4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180</v>
      </c>
    </row>
    <row r="2" spans="1:11" x14ac:dyDescent="0.25">
      <c r="A2" t="s">
        <v>10</v>
      </c>
      <c r="B2" t="s">
        <v>11</v>
      </c>
      <c r="C2" t="s">
        <v>26</v>
      </c>
      <c r="D2" t="s">
        <v>27</v>
      </c>
      <c r="E2" t="s">
        <v>28</v>
      </c>
      <c r="F2" t="s">
        <v>29</v>
      </c>
      <c r="G2" t="s">
        <v>12</v>
      </c>
      <c r="H2" t="s">
        <v>13</v>
      </c>
      <c r="J2" t="s">
        <v>30</v>
      </c>
      <c r="K2" s="4" t="s">
        <v>752</v>
      </c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s="4" t="s">
        <v>752</v>
      </c>
    </row>
    <row r="4" spans="1:11" x14ac:dyDescent="0.25">
      <c r="A4" t="s">
        <v>10</v>
      </c>
      <c r="B4" t="s">
        <v>11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16</v>
      </c>
      <c r="I4" t="s">
        <v>21</v>
      </c>
      <c r="J4" t="s">
        <v>22</v>
      </c>
      <c r="K4" s="4" t="s">
        <v>752</v>
      </c>
    </row>
    <row r="5" spans="1:11" x14ac:dyDescent="0.25">
      <c r="A5" t="s">
        <v>10</v>
      </c>
      <c r="B5" t="s">
        <v>11</v>
      </c>
      <c r="C5" t="s">
        <v>20</v>
      </c>
      <c r="D5" t="s">
        <v>16</v>
      </c>
      <c r="E5" t="s">
        <v>21</v>
      </c>
      <c r="F5" t="s">
        <v>23</v>
      </c>
      <c r="G5" t="s">
        <v>24</v>
      </c>
      <c r="H5" t="s">
        <v>13</v>
      </c>
      <c r="J5" t="s">
        <v>25</v>
      </c>
      <c r="K5" s="4" t="s">
        <v>752</v>
      </c>
    </row>
    <row r="6" spans="1:11" x14ac:dyDescent="0.25">
      <c r="A6" t="s">
        <v>10</v>
      </c>
      <c r="B6" t="s">
        <v>11</v>
      </c>
      <c r="C6" t="s">
        <v>12</v>
      </c>
      <c r="D6" t="s">
        <v>13</v>
      </c>
      <c r="F6" t="s">
        <v>31</v>
      </c>
      <c r="G6" t="s">
        <v>32</v>
      </c>
      <c r="H6" t="s">
        <v>16</v>
      </c>
      <c r="I6" t="s">
        <v>33</v>
      </c>
      <c r="J6" t="s">
        <v>34</v>
      </c>
      <c r="K6" s="4" t="s">
        <v>752</v>
      </c>
    </row>
    <row r="7" spans="1:11" x14ac:dyDescent="0.25">
      <c r="A7" t="s">
        <v>10</v>
      </c>
      <c r="B7" t="s">
        <v>11</v>
      </c>
      <c r="C7" t="s">
        <v>32</v>
      </c>
      <c r="D7" t="s">
        <v>16</v>
      </c>
      <c r="E7" t="s">
        <v>33</v>
      </c>
      <c r="F7" t="s">
        <v>35</v>
      </c>
      <c r="G7" t="s">
        <v>24</v>
      </c>
      <c r="H7" t="s">
        <v>13</v>
      </c>
      <c r="J7" t="s">
        <v>36</v>
      </c>
      <c r="K7" s="4" t="s">
        <v>752</v>
      </c>
    </row>
    <row r="8" spans="1:11" x14ac:dyDescent="0.25">
      <c r="A8" t="s">
        <v>10</v>
      </c>
      <c r="B8" t="s">
        <v>11</v>
      </c>
      <c r="C8" t="s">
        <v>24</v>
      </c>
      <c r="D8" t="s">
        <v>13</v>
      </c>
      <c r="F8" t="s">
        <v>37</v>
      </c>
      <c r="G8" t="s">
        <v>38</v>
      </c>
      <c r="H8" t="s">
        <v>16</v>
      </c>
      <c r="I8" t="s">
        <v>39</v>
      </c>
      <c r="J8" t="s">
        <v>40</v>
      </c>
      <c r="K8" s="4" t="s">
        <v>752</v>
      </c>
    </row>
    <row r="9" spans="1:11" x14ac:dyDescent="0.25">
      <c r="A9" t="s">
        <v>10</v>
      </c>
      <c r="B9" t="s">
        <v>11</v>
      </c>
      <c r="C9" t="s">
        <v>38</v>
      </c>
      <c r="D9" t="s">
        <v>16</v>
      </c>
      <c r="E9" t="s">
        <v>39</v>
      </c>
      <c r="F9" t="s">
        <v>41</v>
      </c>
      <c r="G9" t="s">
        <v>42</v>
      </c>
      <c r="H9" t="s">
        <v>43</v>
      </c>
      <c r="J9" t="s">
        <v>44</v>
      </c>
      <c r="K9" s="4" t="s">
        <v>752</v>
      </c>
    </row>
    <row r="10" spans="1:11" x14ac:dyDescent="0.25">
      <c r="A10" t="s">
        <v>10</v>
      </c>
      <c r="B10" t="s">
        <v>11</v>
      </c>
      <c r="C10" t="s">
        <v>42</v>
      </c>
      <c r="D10" t="s">
        <v>43</v>
      </c>
      <c r="F10" t="s">
        <v>45</v>
      </c>
      <c r="G10" t="s">
        <v>46</v>
      </c>
      <c r="H10" t="s">
        <v>16</v>
      </c>
      <c r="I10" t="s">
        <v>47</v>
      </c>
      <c r="J10" t="s">
        <v>48</v>
      </c>
      <c r="K10" s="4" t="s">
        <v>752</v>
      </c>
    </row>
    <row r="11" spans="1:11" x14ac:dyDescent="0.25">
      <c r="A11" t="s">
        <v>10</v>
      </c>
      <c r="B11" t="s">
        <v>11</v>
      </c>
      <c r="C11" t="s">
        <v>46</v>
      </c>
      <c r="D11" t="s">
        <v>16</v>
      </c>
      <c r="E11" t="s">
        <v>47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s="4" t="s">
        <v>752</v>
      </c>
    </row>
    <row r="12" spans="1:11" x14ac:dyDescent="0.25">
      <c r="A12" t="s">
        <v>10</v>
      </c>
      <c r="B12" t="s">
        <v>11</v>
      </c>
      <c r="C12" t="s">
        <v>42</v>
      </c>
      <c r="D12" t="s">
        <v>43</v>
      </c>
      <c r="F12" t="s">
        <v>54</v>
      </c>
      <c r="G12" t="s">
        <v>55</v>
      </c>
      <c r="H12" t="s">
        <v>16</v>
      </c>
      <c r="I12" t="s">
        <v>56</v>
      </c>
      <c r="J12" t="s">
        <v>57</v>
      </c>
      <c r="K12" s="4" t="s">
        <v>752</v>
      </c>
    </row>
    <row r="13" spans="1:11" x14ac:dyDescent="0.25">
      <c r="A13" t="s">
        <v>10</v>
      </c>
      <c r="B13" t="s">
        <v>11</v>
      </c>
      <c r="C13" t="s">
        <v>55</v>
      </c>
      <c r="D13" t="s">
        <v>16</v>
      </c>
      <c r="E13" t="s">
        <v>56</v>
      </c>
      <c r="F13" t="s">
        <v>58</v>
      </c>
      <c r="G13" t="s">
        <v>59</v>
      </c>
      <c r="H13" t="s">
        <v>16</v>
      </c>
      <c r="I13" t="s">
        <v>60</v>
      </c>
      <c r="J13" t="s">
        <v>61</v>
      </c>
      <c r="K13" s="4" t="s">
        <v>752</v>
      </c>
    </row>
    <row r="14" spans="1:11" x14ac:dyDescent="0.25">
      <c r="A14" t="s">
        <v>10</v>
      </c>
      <c r="B14" t="s">
        <v>11</v>
      </c>
      <c r="C14" t="s">
        <v>59</v>
      </c>
      <c r="D14" t="s">
        <v>16</v>
      </c>
      <c r="E14" t="s">
        <v>60</v>
      </c>
      <c r="F14" t="s">
        <v>62</v>
      </c>
      <c r="G14" t="s">
        <v>63</v>
      </c>
      <c r="H14" t="s">
        <v>51</v>
      </c>
      <c r="J14" t="s">
        <v>64</v>
      </c>
      <c r="K14" s="4" t="s">
        <v>752</v>
      </c>
    </row>
    <row r="15" spans="1:11" x14ac:dyDescent="0.25">
      <c r="D15" t="s">
        <v>748</v>
      </c>
    </row>
    <row r="16" spans="1:11" x14ac:dyDescent="0.25">
      <c r="A16" t="s">
        <v>10</v>
      </c>
      <c r="B16" t="s">
        <v>65</v>
      </c>
      <c r="C16" t="s">
        <v>66</v>
      </c>
      <c r="D16" t="s">
        <v>27</v>
      </c>
      <c r="E16" t="s">
        <v>67</v>
      </c>
      <c r="F16" t="s">
        <v>68</v>
      </c>
      <c r="G16" t="s">
        <v>69</v>
      </c>
      <c r="H16" t="s">
        <v>13</v>
      </c>
      <c r="J16" t="s">
        <v>70</v>
      </c>
      <c r="K16" s="4" t="s">
        <v>749</v>
      </c>
    </row>
    <row r="17" spans="1:11" x14ac:dyDescent="0.25">
      <c r="A17" t="s">
        <v>10</v>
      </c>
      <c r="B17" t="s">
        <v>65</v>
      </c>
      <c r="C17" t="s">
        <v>69</v>
      </c>
      <c r="D17" t="s">
        <v>13</v>
      </c>
      <c r="F17" t="s">
        <v>71</v>
      </c>
      <c r="G17" t="s">
        <v>72</v>
      </c>
      <c r="H17" t="s">
        <v>16</v>
      </c>
      <c r="I17" t="s">
        <v>73</v>
      </c>
      <c r="J17" t="s">
        <v>74</v>
      </c>
      <c r="K17" s="4" t="s">
        <v>749</v>
      </c>
    </row>
    <row r="18" spans="1:11" x14ac:dyDescent="0.25">
      <c r="A18" t="s">
        <v>10</v>
      </c>
      <c r="B18" t="s">
        <v>65</v>
      </c>
      <c r="C18" t="s">
        <v>69</v>
      </c>
      <c r="D18" t="s">
        <v>13</v>
      </c>
      <c r="F18" t="s">
        <v>75</v>
      </c>
      <c r="G18" t="s">
        <v>76</v>
      </c>
      <c r="H18" t="s">
        <v>16</v>
      </c>
      <c r="I18" t="s">
        <v>77</v>
      </c>
      <c r="J18" t="s">
        <v>78</v>
      </c>
      <c r="K18" s="4" t="s">
        <v>749</v>
      </c>
    </row>
    <row r="19" spans="1:11" x14ac:dyDescent="0.25">
      <c r="A19" t="s">
        <v>10</v>
      </c>
      <c r="B19" t="s">
        <v>65</v>
      </c>
      <c r="C19" t="s">
        <v>72</v>
      </c>
      <c r="D19" t="s">
        <v>16</v>
      </c>
      <c r="E19" t="s">
        <v>73</v>
      </c>
      <c r="F19" t="s">
        <v>79</v>
      </c>
      <c r="G19" t="s">
        <v>80</v>
      </c>
      <c r="H19" t="s">
        <v>13</v>
      </c>
      <c r="J19" t="s">
        <v>81</v>
      </c>
      <c r="K19" s="4" t="s">
        <v>750</v>
      </c>
    </row>
    <row r="20" spans="1:11" x14ac:dyDescent="0.25">
      <c r="A20" t="s">
        <v>10</v>
      </c>
      <c r="B20" t="s">
        <v>65</v>
      </c>
      <c r="C20" t="s">
        <v>76</v>
      </c>
      <c r="D20" t="s">
        <v>16</v>
      </c>
      <c r="E20" t="s">
        <v>77</v>
      </c>
      <c r="F20" t="s">
        <v>82</v>
      </c>
      <c r="G20" t="s">
        <v>80</v>
      </c>
      <c r="H20" t="s">
        <v>13</v>
      </c>
      <c r="J20" t="s">
        <v>83</v>
      </c>
      <c r="K20" s="4" t="s">
        <v>749</v>
      </c>
    </row>
    <row r="21" spans="1:11" x14ac:dyDescent="0.25">
      <c r="A21" t="s">
        <v>10</v>
      </c>
      <c r="B21" t="s">
        <v>65</v>
      </c>
      <c r="C21" t="s">
        <v>80</v>
      </c>
      <c r="D21" t="s">
        <v>13</v>
      </c>
      <c r="F21" t="s">
        <v>84</v>
      </c>
      <c r="G21" t="s">
        <v>85</v>
      </c>
      <c r="H21" t="s">
        <v>16</v>
      </c>
      <c r="I21" t="s">
        <v>86</v>
      </c>
      <c r="J21" t="s">
        <v>87</v>
      </c>
      <c r="K21" s="4" t="s">
        <v>750</v>
      </c>
    </row>
    <row r="22" spans="1:11" x14ac:dyDescent="0.25">
      <c r="A22" t="s">
        <v>10</v>
      </c>
      <c r="B22" t="s">
        <v>65</v>
      </c>
      <c r="C22" t="s">
        <v>85</v>
      </c>
      <c r="D22" t="s">
        <v>16</v>
      </c>
      <c r="E22" t="s">
        <v>86</v>
      </c>
      <c r="F22" t="s">
        <v>88</v>
      </c>
      <c r="G22" t="s">
        <v>89</v>
      </c>
      <c r="H22" t="s">
        <v>16</v>
      </c>
      <c r="I22" t="s">
        <v>90</v>
      </c>
      <c r="J22" t="s">
        <v>91</v>
      </c>
      <c r="K22" s="4" t="s">
        <v>750</v>
      </c>
    </row>
    <row r="23" spans="1:11" x14ac:dyDescent="0.25">
      <c r="A23" t="s">
        <v>10</v>
      </c>
      <c r="B23" t="s">
        <v>65</v>
      </c>
      <c r="C23" t="s">
        <v>89</v>
      </c>
      <c r="D23" t="s">
        <v>16</v>
      </c>
      <c r="E23" t="s">
        <v>90</v>
      </c>
      <c r="F23" t="s">
        <v>92</v>
      </c>
      <c r="G23" t="s">
        <v>93</v>
      </c>
      <c r="H23" t="s">
        <v>43</v>
      </c>
      <c r="J23" t="s">
        <v>94</v>
      </c>
      <c r="K23" s="4" t="s">
        <v>749</v>
      </c>
    </row>
    <row r="24" spans="1:11" x14ac:dyDescent="0.25">
      <c r="A24" t="s">
        <v>10</v>
      </c>
      <c r="B24" t="s">
        <v>65</v>
      </c>
      <c r="C24" t="s">
        <v>93</v>
      </c>
      <c r="D24" t="s">
        <v>43</v>
      </c>
      <c r="F24" t="s">
        <v>95</v>
      </c>
      <c r="G24" t="s">
        <v>96</v>
      </c>
      <c r="H24" t="s">
        <v>16</v>
      </c>
      <c r="I24" t="s">
        <v>97</v>
      </c>
      <c r="J24" t="s">
        <v>98</v>
      </c>
      <c r="K24" s="4" t="s">
        <v>749</v>
      </c>
    </row>
    <row r="25" spans="1:11" x14ac:dyDescent="0.25">
      <c r="A25" t="s">
        <v>10</v>
      </c>
      <c r="B25" t="s">
        <v>65</v>
      </c>
      <c r="C25" t="s">
        <v>93</v>
      </c>
      <c r="D25" t="s">
        <v>43</v>
      </c>
      <c r="F25" t="s">
        <v>99</v>
      </c>
      <c r="G25" t="s">
        <v>100</v>
      </c>
      <c r="H25" t="s">
        <v>16</v>
      </c>
      <c r="I25" t="s">
        <v>101</v>
      </c>
      <c r="J25" t="s">
        <v>102</v>
      </c>
      <c r="K25" s="4" t="s">
        <v>749</v>
      </c>
    </row>
    <row r="26" spans="1:11" x14ac:dyDescent="0.25">
      <c r="A26" t="s">
        <v>10</v>
      </c>
      <c r="B26" t="s">
        <v>65</v>
      </c>
      <c r="C26" t="s">
        <v>100</v>
      </c>
      <c r="D26" t="s">
        <v>16</v>
      </c>
      <c r="E26" t="s">
        <v>101</v>
      </c>
      <c r="F26" t="s">
        <v>103</v>
      </c>
      <c r="G26" t="s">
        <v>104</v>
      </c>
      <c r="H26" t="s">
        <v>16</v>
      </c>
      <c r="I26" t="s">
        <v>105</v>
      </c>
      <c r="J26" t="s">
        <v>106</v>
      </c>
      <c r="K26" s="4" t="s">
        <v>749</v>
      </c>
    </row>
    <row r="27" spans="1:11" x14ac:dyDescent="0.25">
      <c r="A27" t="s">
        <v>10</v>
      </c>
      <c r="B27" t="s">
        <v>65</v>
      </c>
      <c r="C27" t="s">
        <v>104</v>
      </c>
      <c r="D27" t="s">
        <v>16</v>
      </c>
      <c r="E27" t="s">
        <v>105</v>
      </c>
      <c r="F27" t="s">
        <v>107</v>
      </c>
      <c r="G27" t="s">
        <v>108</v>
      </c>
      <c r="H27" t="s">
        <v>51</v>
      </c>
      <c r="I27" t="s">
        <v>109</v>
      </c>
      <c r="J27" t="s">
        <v>110</v>
      </c>
      <c r="K27" s="4" t="s">
        <v>749</v>
      </c>
    </row>
    <row r="28" spans="1:11" x14ac:dyDescent="0.25">
      <c r="A28" t="s">
        <v>10</v>
      </c>
      <c r="B28" t="s">
        <v>65</v>
      </c>
      <c r="C28" t="s">
        <v>96</v>
      </c>
      <c r="D28" t="s">
        <v>16</v>
      </c>
      <c r="E28" t="s">
        <v>97</v>
      </c>
      <c r="F28" t="s">
        <v>111</v>
      </c>
      <c r="G28" t="s">
        <v>112</v>
      </c>
      <c r="H28" t="s">
        <v>51</v>
      </c>
      <c r="I28" t="s">
        <v>113</v>
      </c>
      <c r="J28" t="s">
        <v>114</v>
      </c>
      <c r="K28" s="4" t="s">
        <v>749</v>
      </c>
    </row>
    <row r="29" spans="1:11" x14ac:dyDescent="0.25">
      <c r="A29" t="s">
        <v>10</v>
      </c>
      <c r="B29" t="s">
        <v>11</v>
      </c>
      <c r="C29" t="s">
        <v>15</v>
      </c>
      <c r="D29" t="s">
        <v>16</v>
      </c>
      <c r="E29" t="s">
        <v>17</v>
      </c>
      <c r="F29" t="s">
        <v>19</v>
      </c>
      <c r="G29" t="s">
        <v>20</v>
      </c>
      <c r="H29" t="s">
        <v>16</v>
      </c>
      <c r="I29" t="s">
        <v>21</v>
      </c>
      <c r="J29" t="s">
        <v>22</v>
      </c>
      <c r="K29" s="4" t="s">
        <v>751</v>
      </c>
    </row>
    <row r="30" spans="1:11" x14ac:dyDescent="0.25">
      <c r="A30" t="s">
        <v>10</v>
      </c>
      <c r="B30" t="s">
        <v>11</v>
      </c>
      <c r="C30" t="s">
        <v>20</v>
      </c>
      <c r="D30" t="s">
        <v>16</v>
      </c>
      <c r="E30" t="s">
        <v>21</v>
      </c>
      <c r="F30" t="s">
        <v>23</v>
      </c>
      <c r="G30" t="s">
        <v>24</v>
      </c>
      <c r="H30" t="s">
        <v>13</v>
      </c>
      <c r="J30" t="s">
        <v>25</v>
      </c>
      <c r="K30" s="4" t="s">
        <v>751</v>
      </c>
    </row>
    <row r="31" spans="1:11" x14ac:dyDescent="0.25">
      <c r="A31" t="s">
        <v>10</v>
      </c>
      <c r="B31" t="s">
        <v>11</v>
      </c>
      <c r="C31" t="s">
        <v>24</v>
      </c>
      <c r="D31" t="s">
        <v>13</v>
      </c>
      <c r="F31" t="s">
        <v>37</v>
      </c>
      <c r="G31" t="s">
        <v>38</v>
      </c>
      <c r="H31" t="s">
        <v>16</v>
      </c>
      <c r="I31" t="s">
        <v>39</v>
      </c>
      <c r="J31" t="s">
        <v>40</v>
      </c>
      <c r="K31" s="4" t="s">
        <v>751</v>
      </c>
    </row>
    <row r="33" spans="1:11" x14ac:dyDescent="0.25">
      <c r="A33" t="s">
        <v>10</v>
      </c>
      <c r="B33" t="s">
        <v>115</v>
      </c>
      <c r="C33" t="s">
        <v>116</v>
      </c>
      <c r="D33" t="s">
        <v>27</v>
      </c>
      <c r="F33" t="s">
        <v>117</v>
      </c>
      <c r="G33" t="s">
        <v>118</v>
      </c>
      <c r="H33" t="s">
        <v>16</v>
      </c>
      <c r="I33" t="s">
        <v>119</v>
      </c>
      <c r="J33" t="s">
        <v>120</v>
      </c>
      <c r="K33" s="4" t="s">
        <v>750</v>
      </c>
    </row>
    <row r="34" spans="1:11" x14ac:dyDescent="0.25">
      <c r="A34" t="s">
        <v>10</v>
      </c>
      <c r="B34" t="s">
        <v>115</v>
      </c>
      <c r="C34" t="s">
        <v>118</v>
      </c>
      <c r="D34" t="s">
        <v>16</v>
      </c>
      <c r="E34" t="s">
        <v>119</v>
      </c>
      <c r="F34" t="s">
        <v>121</v>
      </c>
      <c r="G34" t="s">
        <v>122</v>
      </c>
      <c r="H34" t="s">
        <v>16</v>
      </c>
      <c r="I34" t="s">
        <v>123</v>
      </c>
      <c r="J34" t="s">
        <v>124</v>
      </c>
      <c r="K34" s="4" t="s">
        <v>750</v>
      </c>
    </row>
    <row r="35" spans="1:11" x14ac:dyDescent="0.25">
      <c r="A35" t="s">
        <v>10</v>
      </c>
      <c r="B35" t="s">
        <v>115</v>
      </c>
      <c r="C35" t="s">
        <v>125</v>
      </c>
      <c r="D35" t="s">
        <v>13</v>
      </c>
      <c r="F35" t="s">
        <v>126</v>
      </c>
      <c r="G35" t="s">
        <v>127</v>
      </c>
      <c r="H35" t="s">
        <v>16</v>
      </c>
      <c r="I35" t="s">
        <v>21</v>
      </c>
      <c r="J35" t="s">
        <v>128</v>
      </c>
      <c r="K35" s="4" t="s">
        <v>750</v>
      </c>
    </row>
    <row r="36" spans="1:11" x14ac:dyDescent="0.25">
      <c r="A36" t="s">
        <v>10</v>
      </c>
      <c r="B36" t="s">
        <v>115</v>
      </c>
      <c r="C36" t="s">
        <v>125</v>
      </c>
      <c r="D36" t="s">
        <v>13</v>
      </c>
      <c r="F36" t="s">
        <v>129</v>
      </c>
      <c r="G36" t="s">
        <v>130</v>
      </c>
      <c r="H36" t="s">
        <v>16</v>
      </c>
      <c r="I36" t="s">
        <v>131</v>
      </c>
      <c r="J36" t="s">
        <v>132</v>
      </c>
      <c r="K36" s="4" t="s">
        <v>749</v>
      </c>
    </row>
    <row r="37" spans="1:11" x14ac:dyDescent="0.25">
      <c r="A37" t="s">
        <v>10</v>
      </c>
      <c r="B37" t="s">
        <v>115</v>
      </c>
      <c r="C37" t="s">
        <v>122</v>
      </c>
      <c r="D37" t="s">
        <v>16</v>
      </c>
      <c r="E37" t="s">
        <v>123</v>
      </c>
      <c r="F37" t="s">
        <v>133</v>
      </c>
      <c r="G37" t="s">
        <v>125</v>
      </c>
      <c r="H37" t="s">
        <v>13</v>
      </c>
      <c r="J37" t="s">
        <v>134</v>
      </c>
      <c r="K37" s="4" t="s">
        <v>750</v>
      </c>
    </row>
    <row r="38" spans="1:11" x14ac:dyDescent="0.25">
      <c r="A38" t="s">
        <v>10</v>
      </c>
      <c r="B38" t="s">
        <v>115</v>
      </c>
      <c r="C38" t="s">
        <v>127</v>
      </c>
      <c r="D38" t="s">
        <v>16</v>
      </c>
      <c r="E38" t="s">
        <v>21</v>
      </c>
      <c r="F38" t="s">
        <v>135</v>
      </c>
      <c r="G38" t="s">
        <v>136</v>
      </c>
      <c r="H38" t="s">
        <v>13</v>
      </c>
      <c r="J38" t="s">
        <v>137</v>
      </c>
      <c r="K38" s="4" t="s">
        <v>749</v>
      </c>
    </row>
    <row r="39" spans="1:11" x14ac:dyDescent="0.25">
      <c r="A39" t="s">
        <v>10</v>
      </c>
      <c r="B39" t="s">
        <v>115</v>
      </c>
      <c r="C39" t="s">
        <v>130</v>
      </c>
      <c r="D39" t="s">
        <v>16</v>
      </c>
      <c r="E39" t="s">
        <v>131</v>
      </c>
      <c r="F39" t="s">
        <v>138</v>
      </c>
      <c r="G39" t="s">
        <v>136</v>
      </c>
      <c r="H39" t="s">
        <v>13</v>
      </c>
      <c r="J39" t="s">
        <v>139</v>
      </c>
      <c r="K39" s="4" t="s">
        <v>749</v>
      </c>
    </row>
    <row r="40" spans="1:11" x14ac:dyDescent="0.25">
      <c r="A40" t="s">
        <v>10</v>
      </c>
      <c r="B40" t="s">
        <v>115</v>
      </c>
      <c r="C40" t="s">
        <v>136</v>
      </c>
      <c r="D40" t="s">
        <v>13</v>
      </c>
      <c r="F40" t="s">
        <v>140</v>
      </c>
      <c r="G40" t="s">
        <v>141</v>
      </c>
      <c r="H40" t="s">
        <v>16</v>
      </c>
      <c r="I40" t="s">
        <v>142</v>
      </c>
      <c r="J40" t="s">
        <v>143</v>
      </c>
      <c r="K40" s="4" t="s">
        <v>749</v>
      </c>
    </row>
    <row r="41" spans="1:11" x14ac:dyDescent="0.25">
      <c r="A41" t="s">
        <v>10</v>
      </c>
      <c r="B41" t="s">
        <v>115</v>
      </c>
      <c r="C41" t="s">
        <v>141</v>
      </c>
      <c r="D41" t="s">
        <v>16</v>
      </c>
      <c r="E41" t="s">
        <v>142</v>
      </c>
      <c r="F41" t="s">
        <v>144</v>
      </c>
      <c r="G41" t="s">
        <v>145</v>
      </c>
      <c r="H41" t="s">
        <v>43</v>
      </c>
      <c r="I41" t="s">
        <v>146</v>
      </c>
      <c r="J41" t="s">
        <v>147</v>
      </c>
      <c r="K41" s="4" t="s">
        <v>749</v>
      </c>
    </row>
    <row r="42" spans="1:11" x14ac:dyDescent="0.25">
      <c r="A42" t="s">
        <v>10</v>
      </c>
      <c r="B42" t="s">
        <v>115</v>
      </c>
      <c r="C42" t="s">
        <v>145</v>
      </c>
      <c r="D42" t="s">
        <v>43</v>
      </c>
      <c r="E42" t="s">
        <v>146</v>
      </c>
      <c r="F42" t="s">
        <v>148</v>
      </c>
      <c r="G42" t="s">
        <v>149</v>
      </c>
      <c r="H42" t="s">
        <v>16</v>
      </c>
      <c r="I42" t="s">
        <v>56</v>
      </c>
      <c r="J42" t="s">
        <v>150</v>
      </c>
      <c r="K42" s="4" t="s">
        <v>749</v>
      </c>
    </row>
    <row r="43" spans="1:11" x14ac:dyDescent="0.25">
      <c r="A43" t="s">
        <v>10</v>
      </c>
      <c r="B43" t="s">
        <v>115</v>
      </c>
      <c r="C43" t="s">
        <v>145</v>
      </c>
      <c r="D43" t="s">
        <v>43</v>
      </c>
      <c r="E43" t="s">
        <v>146</v>
      </c>
      <c r="F43" t="s">
        <v>151</v>
      </c>
      <c r="G43" t="s">
        <v>152</v>
      </c>
      <c r="H43" t="s">
        <v>16</v>
      </c>
      <c r="I43" t="s">
        <v>47</v>
      </c>
      <c r="J43" t="s">
        <v>153</v>
      </c>
      <c r="K43" s="4" t="s">
        <v>749</v>
      </c>
    </row>
    <row r="44" spans="1:11" x14ac:dyDescent="0.25">
      <c r="A44" t="s">
        <v>10</v>
      </c>
      <c r="B44" t="s">
        <v>115</v>
      </c>
      <c r="C44" t="s">
        <v>152</v>
      </c>
      <c r="D44" t="s">
        <v>16</v>
      </c>
      <c r="E44" t="s">
        <v>47</v>
      </c>
      <c r="F44" t="s">
        <v>154</v>
      </c>
      <c r="G44" t="s">
        <v>155</v>
      </c>
      <c r="H44" t="s">
        <v>51</v>
      </c>
      <c r="J44" t="s">
        <v>156</v>
      </c>
      <c r="K44" s="4" t="s">
        <v>749</v>
      </c>
    </row>
    <row r="45" spans="1:11" x14ac:dyDescent="0.25">
      <c r="A45" t="s">
        <v>10</v>
      </c>
      <c r="B45" t="s">
        <v>115</v>
      </c>
      <c r="C45" t="s">
        <v>149</v>
      </c>
      <c r="D45" t="s">
        <v>16</v>
      </c>
      <c r="E45" t="s">
        <v>56</v>
      </c>
      <c r="F45" t="s">
        <v>157</v>
      </c>
      <c r="G45" t="s">
        <v>158</v>
      </c>
      <c r="H45" t="s">
        <v>16</v>
      </c>
      <c r="I45" t="s">
        <v>159</v>
      </c>
      <c r="J45" t="s">
        <v>160</v>
      </c>
      <c r="K45" s="4" t="s">
        <v>749</v>
      </c>
    </row>
    <row r="46" spans="1:11" x14ac:dyDescent="0.25">
      <c r="A46" t="s">
        <v>10</v>
      </c>
      <c r="B46" t="s">
        <v>115</v>
      </c>
      <c r="C46" t="s">
        <v>158</v>
      </c>
      <c r="D46" t="s">
        <v>16</v>
      </c>
      <c r="E46" t="s">
        <v>159</v>
      </c>
      <c r="F46" t="s">
        <v>161</v>
      </c>
      <c r="G46" t="s">
        <v>162</v>
      </c>
      <c r="H46" t="s">
        <v>16</v>
      </c>
      <c r="I46" t="s">
        <v>163</v>
      </c>
      <c r="J46" t="s">
        <v>164</v>
      </c>
      <c r="K46" s="4" t="s">
        <v>750</v>
      </c>
    </row>
    <row r="47" spans="1:11" x14ac:dyDescent="0.25">
      <c r="A47" t="s">
        <v>10</v>
      </c>
      <c r="B47" t="s">
        <v>115</v>
      </c>
      <c r="C47" t="s">
        <v>162</v>
      </c>
      <c r="D47" t="s">
        <v>16</v>
      </c>
      <c r="E47" t="s">
        <v>163</v>
      </c>
      <c r="F47" t="s">
        <v>165</v>
      </c>
      <c r="G47" t="s">
        <v>166</v>
      </c>
      <c r="H47" t="s">
        <v>16</v>
      </c>
      <c r="I47" t="s">
        <v>167</v>
      </c>
      <c r="J47" t="s">
        <v>168</v>
      </c>
      <c r="K47" s="4" t="s">
        <v>750</v>
      </c>
    </row>
    <row r="48" spans="1:11" x14ac:dyDescent="0.25">
      <c r="A48" t="s">
        <v>10</v>
      </c>
      <c r="B48" t="s">
        <v>115</v>
      </c>
      <c r="C48" t="s">
        <v>166</v>
      </c>
      <c r="D48" t="s">
        <v>16</v>
      </c>
      <c r="E48" t="s">
        <v>167</v>
      </c>
      <c r="F48" t="s">
        <v>169</v>
      </c>
      <c r="G48" t="s">
        <v>170</v>
      </c>
      <c r="H48" t="s">
        <v>51</v>
      </c>
      <c r="J48" t="s">
        <v>171</v>
      </c>
      <c r="K48" s="4" t="s">
        <v>750</v>
      </c>
    </row>
    <row r="49" spans="1:11" x14ac:dyDescent="0.25">
      <c r="A49" t="s">
        <v>10</v>
      </c>
      <c r="B49" t="s">
        <v>11</v>
      </c>
      <c r="C49" t="s">
        <v>26</v>
      </c>
      <c r="D49" t="s">
        <v>27</v>
      </c>
      <c r="E49" t="s">
        <v>28</v>
      </c>
      <c r="F49" t="s">
        <v>29</v>
      </c>
      <c r="G49" t="s">
        <v>12</v>
      </c>
      <c r="H49" t="s">
        <v>13</v>
      </c>
      <c r="J49" t="s">
        <v>30</v>
      </c>
      <c r="K49" s="4" t="s">
        <v>751</v>
      </c>
    </row>
    <row r="50" spans="1:11" x14ac:dyDescent="0.25">
      <c r="A50" t="s">
        <v>10</v>
      </c>
      <c r="B50" t="s">
        <v>11</v>
      </c>
      <c r="C50" t="s">
        <v>12</v>
      </c>
      <c r="D50" t="s">
        <v>13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  <c r="K50" s="4" t="s">
        <v>751</v>
      </c>
    </row>
    <row r="51" spans="1:11" x14ac:dyDescent="0.25">
      <c r="A51" t="s">
        <v>10</v>
      </c>
      <c r="B51" t="s">
        <v>11</v>
      </c>
      <c r="C51" t="s">
        <v>15</v>
      </c>
      <c r="D51" t="s">
        <v>16</v>
      </c>
      <c r="E51" t="s">
        <v>17</v>
      </c>
      <c r="F51" t="s">
        <v>19</v>
      </c>
      <c r="G51" t="s">
        <v>20</v>
      </c>
      <c r="H51" t="s">
        <v>16</v>
      </c>
      <c r="I51" t="s">
        <v>21</v>
      </c>
      <c r="J51" t="s">
        <v>22</v>
      </c>
      <c r="K51" s="4" t="s">
        <v>751</v>
      </c>
    </row>
    <row r="52" spans="1:11" x14ac:dyDescent="0.25">
      <c r="A52" t="s">
        <v>10</v>
      </c>
      <c r="B52" t="s">
        <v>11</v>
      </c>
      <c r="C52" t="s">
        <v>59</v>
      </c>
      <c r="D52" t="s">
        <v>16</v>
      </c>
      <c r="E52" t="s">
        <v>60</v>
      </c>
      <c r="F52" t="s">
        <v>62</v>
      </c>
      <c r="G52" t="s">
        <v>63</v>
      </c>
      <c r="H52" t="s">
        <v>51</v>
      </c>
      <c r="J52" t="s">
        <v>64</v>
      </c>
      <c r="K52" s="4" t="s">
        <v>751</v>
      </c>
    </row>
    <row r="54" spans="1:11" x14ac:dyDescent="0.25">
      <c r="A54" t="s">
        <v>10</v>
      </c>
      <c r="B54" t="s">
        <v>172</v>
      </c>
      <c r="C54" t="s">
        <v>353</v>
      </c>
      <c r="D54" t="s">
        <v>27</v>
      </c>
      <c r="E54" t="s">
        <v>173</v>
      </c>
      <c r="F54" t="s">
        <v>754</v>
      </c>
      <c r="G54" t="s">
        <v>755</v>
      </c>
      <c r="H54" t="s">
        <v>16</v>
      </c>
      <c r="I54" t="s">
        <v>174</v>
      </c>
      <c r="J54" t="s">
        <v>756</v>
      </c>
      <c r="K54" s="4" t="s">
        <v>750</v>
      </c>
    </row>
    <row r="55" spans="1:11" x14ac:dyDescent="0.25">
      <c r="A55" t="s">
        <v>10</v>
      </c>
      <c r="B55" t="s">
        <v>172</v>
      </c>
      <c r="C55" t="s">
        <v>755</v>
      </c>
      <c r="D55" t="s">
        <v>16</v>
      </c>
      <c r="E55" t="s">
        <v>174</v>
      </c>
      <c r="F55" t="s">
        <v>757</v>
      </c>
      <c r="G55" t="s">
        <v>758</v>
      </c>
      <c r="H55" t="s">
        <v>13</v>
      </c>
      <c r="J55" t="s">
        <v>759</v>
      </c>
      <c r="K55" s="4" t="s">
        <v>750</v>
      </c>
    </row>
    <row r="56" spans="1:11" x14ac:dyDescent="0.25">
      <c r="A56" t="s">
        <v>10</v>
      </c>
      <c r="B56" t="s">
        <v>172</v>
      </c>
      <c r="C56" t="s">
        <v>760</v>
      </c>
      <c r="D56" t="s">
        <v>16</v>
      </c>
      <c r="E56" t="s">
        <v>175</v>
      </c>
      <c r="F56" t="s">
        <v>761</v>
      </c>
      <c r="G56" t="s">
        <v>762</v>
      </c>
      <c r="H56" t="s">
        <v>13</v>
      </c>
      <c r="J56" t="s">
        <v>763</v>
      </c>
      <c r="K56" s="4" t="s">
        <v>749</v>
      </c>
    </row>
    <row r="57" spans="1:11" x14ac:dyDescent="0.25">
      <c r="A57" t="s">
        <v>10</v>
      </c>
      <c r="B57" t="s">
        <v>172</v>
      </c>
      <c r="C57" t="s">
        <v>758</v>
      </c>
      <c r="D57" t="s">
        <v>13</v>
      </c>
      <c r="F57" t="s">
        <v>764</v>
      </c>
      <c r="G57" t="s">
        <v>760</v>
      </c>
      <c r="H57" t="s">
        <v>16</v>
      </c>
      <c r="I57" t="s">
        <v>175</v>
      </c>
      <c r="J57" t="s">
        <v>765</v>
      </c>
      <c r="K57" s="4" t="s">
        <v>750</v>
      </c>
    </row>
    <row r="58" spans="1:11" x14ac:dyDescent="0.25">
      <c r="A58" t="s">
        <v>10</v>
      </c>
      <c r="B58" t="s">
        <v>172</v>
      </c>
      <c r="C58" t="s">
        <v>766</v>
      </c>
      <c r="D58" t="s">
        <v>16</v>
      </c>
      <c r="E58" t="s">
        <v>33</v>
      </c>
      <c r="F58" t="s">
        <v>767</v>
      </c>
      <c r="G58" t="s">
        <v>762</v>
      </c>
      <c r="H58" t="s">
        <v>13</v>
      </c>
      <c r="J58" t="s">
        <v>768</v>
      </c>
      <c r="K58" s="4" t="s">
        <v>749</v>
      </c>
    </row>
    <row r="59" spans="1:11" x14ac:dyDescent="0.25">
      <c r="A59" t="s">
        <v>10</v>
      </c>
      <c r="B59" t="s">
        <v>172</v>
      </c>
      <c r="C59" t="s">
        <v>758</v>
      </c>
      <c r="D59" t="s">
        <v>13</v>
      </c>
      <c r="F59" t="s">
        <v>769</v>
      </c>
      <c r="G59" t="s">
        <v>766</v>
      </c>
      <c r="H59" t="s">
        <v>16</v>
      </c>
      <c r="I59" t="s">
        <v>33</v>
      </c>
      <c r="J59" t="s">
        <v>770</v>
      </c>
      <c r="K59" s="4" t="s">
        <v>749</v>
      </c>
    </row>
    <row r="60" spans="1:11" x14ac:dyDescent="0.25">
      <c r="A60" t="s">
        <v>10</v>
      </c>
      <c r="B60" t="s">
        <v>172</v>
      </c>
      <c r="C60" t="s">
        <v>762</v>
      </c>
      <c r="D60" t="s">
        <v>13</v>
      </c>
      <c r="F60" t="s">
        <v>771</v>
      </c>
      <c r="G60" t="s">
        <v>772</v>
      </c>
      <c r="H60" t="s">
        <v>16</v>
      </c>
      <c r="I60" t="s">
        <v>176</v>
      </c>
      <c r="J60" t="s">
        <v>773</v>
      </c>
      <c r="K60" s="4" t="s">
        <v>749</v>
      </c>
    </row>
    <row r="61" spans="1:11" x14ac:dyDescent="0.25">
      <c r="A61" t="s">
        <v>10</v>
      </c>
      <c r="B61" t="s">
        <v>172</v>
      </c>
      <c r="C61" t="s">
        <v>772</v>
      </c>
      <c r="D61" t="s">
        <v>16</v>
      </c>
      <c r="E61" t="s">
        <v>176</v>
      </c>
      <c r="F61" t="s">
        <v>774</v>
      </c>
      <c r="G61" t="s">
        <v>775</v>
      </c>
      <c r="H61" t="s">
        <v>43</v>
      </c>
      <c r="I61" t="s">
        <v>177</v>
      </c>
      <c r="J61" t="s">
        <v>776</v>
      </c>
      <c r="K61" s="4" t="s">
        <v>749</v>
      </c>
    </row>
    <row r="62" spans="1:11" x14ac:dyDescent="0.25">
      <c r="A62" t="s">
        <v>10</v>
      </c>
      <c r="B62" t="s">
        <v>172</v>
      </c>
      <c r="C62" t="s">
        <v>777</v>
      </c>
      <c r="D62" t="s">
        <v>16</v>
      </c>
      <c r="E62" t="s">
        <v>47</v>
      </c>
      <c r="F62" t="s">
        <v>778</v>
      </c>
      <c r="G62" t="s">
        <v>779</v>
      </c>
      <c r="H62" t="s">
        <v>51</v>
      </c>
      <c r="I62" t="s">
        <v>178</v>
      </c>
      <c r="J62" t="s">
        <v>780</v>
      </c>
      <c r="K62" s="4" t="s">
        <v>749</v>
      </c>
    </row>
    <row r="63" spans="1:11" x14ac:dyDescent="0.25">
      <c r="A63" t="s">
        <v>10</v>
      </c>
      <c r="B63" t="s">
        <v>172</v>
      </c>
      <c r="C63" t="s">
        <v>775</v>
      </c>
      <c r="D63" t="s">
        <v>43</v>
      </c>
      <c r="E63" t="s">
        <v>177</v>
      </c>
      <c r="F63" t="s">
        <v>781</v>
      </c>
      <c r="G63" t="s">
        <v>777</v>
      </c>
      <c r="H63" t="s">
        <v>16</v>
      </c>
      <c r="I63" t="s">
        <v>47</v>
      </c>
      <c r="J63" t="s">
        <v>782</v>
      </c>
      <c r="K63" s="4" t="s">
        <v>749</v>
      </c>
    </row>
    <row r="64" spans="1:11" x14ac:dyDescent="0.25">
      <c r="A64" t="s">
        <v>10</v>
      </c>
      <c r="B64" t="s">
        <v>172</v>
      </c>
      <c r="C64" t="s">
        <v>783</v>
      </c>
      <c r="D64" t="s">
        <v>16</v>
      </c>
      <c r="E64" t="s">
        <v>56</v>
      </c>
      <c r="F64" t="s">
        <v>784</v>
      </c>
      <c r="G64" t="s">
        <v>785</v>
      </c>
      <c r="H64" t="s">
        <v>16</v>
      </c>
      <c r="I64" t="s">
        <v>159</v>
      </c>
      <c r="J64" t="s">
        <v>786</v>
      </c>
      <c r="K64" s="4" t="s">
        <v>749</v>
      </c>
    </row>
    <row r="65" spans="1:12" x14ac:dyDescent="0.25">
      <c r="A65" t="s">
        <v>10</v>
      </c>
      <c r="B65" t="s">
        <v>172</v>
      </c>
      <c r="C65" t="s">
        <v>785</v>
      </c>
      <c r="D65" t="s">
        <v>16</v>
      </c>
      <c r="E65" t="s">
        <v>159</v>
      </c>
      <c r="F65" t="s">
        <v>787</v>
      </c>
      <c r="G65" t="s">
        <v>788</v>
      </c>
      <c r="H65" t="s">
        <v>51</v>
      </c>
      <c r="I65" t="s">
        <v>179</v>
      </c>
      <c r="J65" t="s">
        <v>789</v>
      </c>
      <c r="K65" s="4" t="s">
        <v>749</v>
      </c>
    </row>
    <row r="66" spans="1:12" x14ac:dyDescent="0.25">
      <c r="A66" t="s">
        <v>10</v>
      </c>
      <c r="B66" t="s">
        <v>172</v>
      </c>
      <c r="C66" t="s">
        <v>775</v>
      </c>
      <c r="D66" t="s">
        <v>43</v>
      </c>
      <c r="E66" t="s">
        <v>177</v>
      </c>
      <c r="F66" t="s">
        <v>790</v>
      </c>
      <c r="G66" t="s">
        <v>783</v>
      </c>
      <c r="H66" t="s">
        <v>16</v>
      </c>
      <c r="I66" t="s">
        <v>56</v>
      </c>
      <c r="J66" t="s">
        <v>791</v>
      </c>
      <c r="K66" s="4" t="s">
        <v>749</v>
      </c>
      <c r="L66" t="s">
        <v>748</v>
      </c>
    </row>
    <row r="67" spans="1:12" x14ac:dyDescent="0.25">
      <c r="A67" t="s">
        <v>10</v>
      </c>
      <c r="B67" t="s">
        <v>11</v>
      </c>
      <c r="C67" t="s">
        <v>26</v>
      </c>
      <c r="D67" t="s">
        <v>27</v>
      </c>
      <c r="E67" t="s">
        <v>28</v>
      </c>
      <c r="F67" t="s">
        <v>29</v>
      </c>
      <c r="G67" t="s">
        <v>12</v>
      </c>
      <c r="H67" t="s">
        <v>13</v>
      </c>
      <c r="J67" t="s">
        <v>30</v>
      </c>
      <c r="K67" s="4" t="s">
        <v>751</v>
      </c>
    </row>
    <row r="68" spans="1:12" x14ac:dyDescent="0.25">
      <c r="A68" t="s">
        <v>10</v>
      </c>
      <c r="B68" t="s">
        <v>11</v>
      </c>
      <c r="C68" t="s">
        <v>12</v>
      </c>
      <c r="D68" t="s">
        <v>13</v>
      </c>
      <c r="F68" t="s">
        <v>14</v>
      </c>
      <c r="G68" t="s">
        <v>15</v>
      </c>
      <c r="H68" t="s">
        <v>16</v>
      </c>
      <c r="I68" t="s">
        <v>17</v>
      </c>
      <c r="J68" t="s">
        <v>18</v>
      </c>
      <c r="K68" s="4" t="s">
        <v>751</v>
      </c>
    </row>
    <row r="69" spans="1:12" x14ac:dyDescent="0.25">
      <c r="A69" t="s">
        <v>10</v>
      </c>
      <c r="B69" t="s">
        <v>11</v>
      </c>
      <c r="C69" t="s">
        <v>15</v>
      </c>
      <c r="D69" t="s">
        <v>16</v>
      </c>
      <c r="E69" t="s">
        <v>17</v>
      </c>
      <c r="F69" t="s">
        <v>19</v>
      </c>
      <c r="G69" t="s">
        <v>20</v>
      </c>
      <c r="H69" t="s">
        <v>16</v>
      </c>
      <c r="I69" t="s">
        <v>21</v>
      </c>
      <c r="J69" t="s">
        <v>22</v>
      </c>
      <c r="K69" s="4" t="s">
        <v>751</v>
      </c>
    </row>
    <row r="71" spans="1:12" x14ac:dyDescent="0.25">
      <c r="K71"/>
    </row>
    <row r="72" spans="1:12" x14ac:dyDescent="0.25">
      <c r="K72"/>
    </row>
    <row r="73" spans="1:12" x14ac:dyDescent="0.25">
      <c r="K73"/>
    </row>
    <row r="74" spans="1:12" x14ac:dyDescent="0.25">
      <c r="K74"/>
    </row>
    <row r="75" spans="1:12" x14ac:dyDescent="0.25">
      <c r="K75"/>
    </row>
    <row r="76" spans="1:12" x14ac:dyDescent="0.25">
      <c r="K76"/>
    </row>
    <row r="77" spans="1:12" x14ac:dyDescent="0.25">
      <c r="K77"/>
    </row>
    <row r="78" spans="1:12" x14ac:dyDescent="0.25">
      <c r="K78"/>
    </row>
    <row r="79" spans="1:12" x14ac:dyDescent="0.25">
      <c r="K79"/>
    </row>
    <row r="80" spans="1:12" x14ac:dyDescent="0.25">
      <c r="K80"/>
    </row>
    <row r="81" spans="11:12" x14ac:dyDescent="0.25">
      <c r="K81"/>
      <c r="L81" t="s">
        <v>748</v>
      </c>
    </row>
    <row r="82" spans="11:12" x14ac:dyDescent="0.25">
      <c r="K82"/>
    </row>
    <row r="83" spans="11:12" x14ac:dyDescent="0.25">
      <c r="K8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7020-8D3D-459E-AD93-8C3AA4FEA686}">
  <dimension ref="A1:K76"/>
  <sheetViews>
    <sheetView zoomScale="55" zoomScaleNormal="55" workbookViewId="0">
      <pane ySplit="1" topLeftCell="A44" activePane="bottomLeft" state="frozen"/>
      <selection pane="bottomLeft" activeCell="A2" sqref="A2:E76"/>
    </sheetView>
  </sheetViews>
  <sheetFormatPr baseColWidth="10" defaultRowHeight="15" x14ac:dyDescent="0.25"/>
  <cols>
    <col min="3" max="3" width="18" bestFit="1" customWidth="1"/>
    <col min="4" max="4" width="16.5703125" bestFit="1" customWidth="1"/>
    <col min="5" max="5" width="24" customWidth="1"/>
    <col min="6" max="6" width="14" bestFit="1" customWidth="1"/>
    <col min="7" max="7" width="17.140625" bestFit="1" customWidth="1"/>
    <col min="8" max="8" width="16.5703125" bestFit="1" customWidth="1"/>
    <col min="9" max="9" width="22.7109375" customWidth="1"/>
    <col min="10" max="10" width="48.28515625" customWidth="1"/>
    <col min="11" max="11" width="11.42578125" style="4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180</v>
      </c>
    </row>
    <row r="2" spans="1:11" x14ac:dyDescent="0.25">
      <c r="A2" t="s">
        <v>181</v>
      </c>
      <c r="B2" t="s">
        <v>11</v>
      </c>
      <c r="C2" t="s">
        <v>182</v>
      </c>
      <c r="D2" t="s">
        <v>27</v>
      </c>
      <c r="E2" t="s">
        <v>183</v>
      </c>
      <c r="F2" t="s">
        <v>184</v>
      </c>
      <c r="G2" t="s">
        <v>185</v>
      </c>
      <c r="H2" t="s">
        <v>16</v>
      </c>
      <c r="I2" t="s">
        <v>186</v>
      </c>
      <c r="J2" t="s">
        <v>187</v>
      </c>
      <c r="K2" s="4" t="s">
        <v>752</v>
      </c>
    </row>
    <row r="3" spans="1:11" x14ac:dyDescent="0.25">
      <c r="A3" t="s">
        <v>181</v>
      </c>
      <c r="B3" t="s">
        <v>11</v>
      </c>
      <c r="C3" t="s">
        <v>185</v>
      </c>
      <c r="D3" t="s">
        <v>16</v>
      </c>
      <c r="E3" t="s">
        <v>186</v>
      </c>
      <c r="F3" t="s">
        <v>188</v>
      </c>
      <c r="G3" t="s">
        <v>189</v>
      </c>
      <c r="H3" t="s">
        <v>43</v>
      </c>
      <c r="J3" t="s">
        <v>190</v>
      </c>
      <c r="K3" s="4" t="s">
        <v>752</v>
      </c>
    </row>
    <row r="4" spans="1:11" x14ac:dyDescent="0.25">
      <c r="A4" t="s">
        <v>181</v>
      </c>
      <c r="B4" t="s">
        <v>11</v>
      </c>
      <c r="C4" t="s">
        <v>189</v>
      </c>
      <c r="D4" t="s">
        <v>43</v>
      </c>
      <c r="F4" t="s">
        <v>191</v>
      </c>
      <c r="G4" t="s">
        <v>192</v>
      </c>
      <c r="H4" t="s">
        <v>16</v>
      </c>
      <c r="I4" t="s">
        <v>193</v>
      </c>
      <c r="J4" t="s">
        <v>194</v>
      </c>
      <c r="K4" s="4" t="s">
        <v>752</v>
      </c>
    </row>
    <row r="5" spans="1:11" x14ac:dyDescent="0.25">
      <c r="A5" t="s">
        <v>181</v>
      </c>
      <c r="B5" t="s">
        <v>11</v>
      </c>
      <c r="C5" t="s">
        <v>192</v>
      </c>
      <c r="D5" t="s">
        <v>16</v>
      </c>
      <c r="E5" t="s">
        <v>193</v>
      </c>
      <c r="F5" t="s">
        <v>195</v>
      </c>
      <c r="G5" t="s">
        <v>196</v>
      </c>
      <c r="H5" t="s">
        <v>51</v>
      </c>
      <c r="I5" t="s">
        <v>197</v>
      </c>
      <c r="J5" t="s">
        <v>198</v>
      </c>
      <c r="K5" s="4" t="s">
        <v>752</v>
      </c>
    </row>
    <row r="6" spans="1:11" x14ac:dyDescent="0.25">
      <c r="A6" t="s">
        <v>181</v>
      </c>
      <c r="B6" t="s">
        <v>11</v>
      </c>
      <c r="C6" t="s">
        <v>189</v>
      </c>
      <c r="D6" t="s">
        <v>43</v>
      </c>
      <c r="F6" t="s">
        <v>199</v>
      </c>
      <c r="G6" t="s">
        <v>200</v>
      </c>
      <c r="H6" t="s">
        <v>16</v>
      </c>
      <c r="I6" t="s">
        <v>201</v>
      </c>
      <c r="J6" t="s">
        <v>202</v>
      </c>
      <c r="K6" s="4" t="s">
        <v>752</v>
      </c>
    </row>
    <row r="7" spans="1:11" x14ac:dyDescent="0.25">
      <c r="A7" t="s">
        <v>181</v>
      </c>
      <c r="B7" t="s">
        <v>11</v>
      </c>
      <c r="C7" t="s">
        <v>200</v>
      </c>
      <c r="D7" t="s">
        <v>16</v>
      </c>
      <c r="E7" t="s">
        <v>201</v>
      </c>
      <c r="F7" t="s">
        <v>203</v>
      </c>
      <c r="G7" t="s">
        <v>204</v>
      </c>
      <c r="H7" t="s">
        <v>16</v>
      </c>
      <c r="I7" t="s">
        <v>205</v>
      </c>
      <c r="J7" t="s">
        <v>206</v>
      </c>
      <c r="K7" s="4" t="s">
        <v>752</v>
      </c>
    </row>
    <row r="8" spans="1:11" x14ac:dyDescent="0.25">
      <c r="A8" t="s">
        <v>181</v>
      </c>
      <c r="B8" t="s">
        <v>11</v>
      </c>
      <c r="C8" t="s">
        <v>204</v>
      </c>
      <c r="D8" t="s">
        <v>16</v>
      </c>
      <c r="E8" t="s">
        <v>205</v>
      </c>
      <c r="F8" t="s">
        <v>207</v>
      </c>
      <c r="G8" t="s">
        <v>208</v>
      </c>
      <c r="H8" t="s">
        <v>13</v>
      </c>
      <c r="I8" t="s">
        <v>748</v>
      </c>
      <c r="J8" t="s">
        <v>209</v>
      </c>
      <c r="K8" s="4" t="s">
        <v>752</v>
      </c>
    </row>
    <row r="9" spans="1:11" x14ac:dyDescent="0.25">
      <c r="A9" t="s">
        <v>181</v>
      </c>
      <c r="B9" t="s">
        <v>11</v>
      </c>
      <c r="C9" t="s">
        <v>208</v>
      </c>
      <c r="D9" t="s">
        <v>13</v>
      </c>
      <c r="F9" t="s">
        <v>210</v>
      </c>
      <c r="G9" t="s">
        <v>211</v>
      </c>
      <c r="H9" t="s">
        <v>16</v>
      </c>
      <c r="I9" t="s">
        <v>212</v>
      </c>
      <c r="J9" t="s">
        <v>213</v>
      </c>
      <c r="K9" s="4" t="s">
        <v>752</v>
      </c>
    </row>
    <row r="10" spans="1:11" x14ac:dyDescent="0.25">
      <c r="A10" t="s">
        <v>181</v>
      </c>
      <c r="B10" t="s">
        <v>11</v>
      </c>
      <c r="C10" t="s">
        <v>211</v>
      </c>
      <c r="D10" t="s">
        <v>16</v>
      </c>
      <c r="E10" t="s">
        <v>212</v>
      </c>
      <c r="F10" t="s">
        <v>214</v>
      </c>
      <c r="G10" t="s">
        <v>215</v>
      </c>
      <c r="H10" t="s">
        <v>16</v>
      </c>
      <c r="I10" t="s">
        <v>216</v>
      </c>
      <c r="J10" t="s">
        <v>217</v>
      </c>
      <c r="K10" s="4" t="s">
        <v>752</v>
      </c>
    </row>
    <row r="11" spans="1:11" x14ac:dyDescent="0.25">
      <c r="A11" t="s">
        <v>181</v>
      </c>
      <c r="B11" t="s">
        <v>11</v>
      </c>
      <c r="C11" t="s">
        <v>208</v>
      </c>
      <c r="D11" t="s">
        <v>13</v>
      </c>
      <c r="F11" t="s">
        <v>218</v>
      </c>
      <c r="G11" t="s">
        <v>219</v>
      </c>
      <c r="H11" t="s">
        <v>16</v>
      </c>
      <c r="I11" t="s">
        <v>220</v>
      </c>
      <c r="J11" t="s">
        <v>221</v>
      </c>
      <c r="K11" s="4" t="s">
        <v>752</v>
      </c>
    </row>
    <row r="12" spans="1:11" x14ac:dyDescent="0.25">
      <c r="A12" t="s">
        <v>181</v>
      </c>
      <c r="B12" t="s">
        <v>11</v>
      </c>
      <c r="C12" t="s">
        <v>219</v>
      </c>
      <c r="D12" t="s">
        <v>16</v>
      </c>
      <c r="E12" t="s">
        <v>220</v>
      </c>
      <c r="F12" t="s">
        <v>222</v>
      </c>
      <c r="G12" t="s">
        <v>223</v>
      </c>
      <c r="H12" t="s">
        <v>16</v>
      </c>
      <c r="I12" t="s">
        <v>224</v>
      </c>
      <c r="J12" t="s">
        <v>225</v>
      </c>
      <c r="K12" s="4" t="s">
        <v>752</v>
      </c>
    </row>
    <row r="13" spans="1:11" x14ac:dyDescent="0.25">
      <c r="A13" t="s">
        <v>181</v>
      </c>
      <c r="B13" t="s">
        <v>11</v>
      </c>
      <c r="C13" t="s">
        <v>215</v>
      </c>
      <c r="D13" t="s">
        <v>16</v>
      </c>
      <c r="E13" t="s">
        <v>216</v>
      </c>
      <c r="F13" t="s">
        <v>226</v>
      </c>
      <c r="G13" t="s">
        <v>227</v>
      </c>
      <c r="H13" t="s">
        <v>13</v>
      </c>
      <c r="J13" t="s">
        <v>228</v>
      </c>
      <c r="K13" s="4" t="s">
        <v>752</v>
      </c>
    </row>
    <row r="14" spans="1:11" x14ac:dyDescent="0.25">
      <c r="A14" t="s">
        <v>181</v>
      </c>
      <c r="B14" t="s">
        <v>11</v>
      </c>
      <c r="C14" t="s">
        <v>223</v>
      </c>
      <c r="D14" t="s">
        <v>16</v>
      </c>
      <c r="E14" t="s">
        <v>224</v>
      </c>
      <c r="F14" t="s">
        <v>229</v>
      </c>
      <c r="G14" t="s">
        <v>227</v>
      </c>
      <c r="H14" t="s">
        <v>13</v>
      </c>
      <c r="J14" t="s">
        <v>230</v>
      </c>
      <c r="K14" s="4" t="s">
        <v>752</v>
      </c>
    </row>
    <row r="15" spans="1:11" x14ac:dyDescent="0.25">
      <c r="A15" t="s">
        <v>181</v>
      </c>
      <c r="B15" t="s">
        <v>11</v>
      </c>
      <c r="C15" t="s">
        <v>227</v>
      </c>
      <c r="D15" t="s">
        <v>13</v>
      </c>
      <c r="F15" t="s">
        <v>231</v>
      </c>
      <c r="G15" t="s">
        <v>232</v>
      </c>
      <c r="H15" t="s">
        <v>16</v>
      </c>
      <c r="I15" t="s">
        <v>233</v>
      </c>
      <c r="J15" t="s">
        <v>234</v>
      </c>
      <c r="K15" s="4" t="s">
        <v>752</v>
      </c>
    </row>
    <row r="16" spans="1:11" x14ac:dyDescent="0.25">
      <c r="A16" t="s">
        <v>181</v>
      </c>
      <c r="B16" t="s">
        <v>11</v>
      </c>
      <c r="C16" t="s">
        <v>232</v>
      </c>
      <c r="D16" t="s">
        <v>16</v>
      </c>
      <c r="E16" t="s">
        <v>233</v>
      </c>
      <c r="F16" t="s">
        <v>235</v>
      </c>
      <c r="G16" t="s">
        <v>236</v>
      </c>
      <c r="H16" t="s">
        <v>51</v>
      </c>
      <c r="I16" t="s">
        <v>237</v>
      </c>
      <c r="J16" t="s">
        <v>238</v>
      </c>
      <c r="K16" s="4" t="s">
        <v>752</v>
      </c>
    </row>
    <row r="17" spans="1:11" x14ac:dyDescent="0.25">
      <c r="C17" t="s">
        <v>748</v>
      </c>
      <c r="I17" t="s">
        <v>748</v>
      </c>
      <c r="J17" t="s">
        <v>748</v>
      </c>
    </row>
    <row r="18" spans="1:11" x14ac:dyDescent="0.25">
      <c r="A18" t="s">
        <v>181</v>
      </c>
      <c r="B18" t="s">
        <v>65</v>
      </c>
      <c r="C18" t="s">
        <v>239</v>
      </c>
      <c r="D18" t="s">
        <v>27</v>
      </c>
      <c r="E18" t="s">
        <v>240</v>
      </c>
      <c r="F18" t="s">
        <v>241</v>
      </c>
      <c r="G18" t="s">
        <v>242</v>
      </c>
      <c r="H18" t="s">
        <v>16</v>
      </c>
      <c r="I18" t="s">
        <v>243</v>
      </c>
      <c r="J18" t="s">
        <v>244</v>
      </c>
      <c r="K18" s="4" t="s">
        <v>749</v>
      </c>
    </row>
    <row r="19" spans="1:11" x14ac:dyDescent="0.25">
      <c r="A19" t="s">
        <v>181</v>
      </c>
      <c r="B19" t="s">
        <v>65</v>
      </c>
      <c r="C19" t="s">
        <v>242</v>
      </c>
      <c r="D19" t="s">
        <v>16</v>
      </c>
      <c r="E19" t="s">
        <v>243</v>
      </c>
      <c r="F19" t="s">
        <v>245</v>
      </c>
      <c r="G19" t="s">
        <v>246</v>
      </c>
      <c r="H19" t="s">
        <v>43</v>
      </c>
      <c r="J19" t="s">
        <v>247</v>
      </c>
      <c r="K19" s="4" t="s">
        <v>749</v>
      </c>
    </row>
    <row r="20" spans="1:11" x14ac:dyDescent="0.25">
      <c r="A20" t="s">
        <v>181</v>
      </c>
      <c r="B20" t="s">
        <v>65</v>
      </c>
      <c r="C20" t="s">
        <v>246</v>
      </c>
      <c r="D20" t="s">
        <v>43</v>
      </c>
      <c r="F20" t="s">
        <v>248</v>
      </c>
      <c r="G20" t="s">
        <v>249</v>
      </c>
      <c r="H20" t="s">
        <v>16</v>
      </c>
      <c r="I20" t="s">
        <v>193</v>
      </c>
      <c r="J20" t="s">
        <v>250</v>
      </c>
      <c r="K20" s="4" t="s">
        <v>749</v>
      </c>
    </row>
    <row r="21" spans="1:11" x14ac:dyDescent="0.25">
      <c r="A21" t="s">
        <v>181</v>
      </c>
      <c r="B21" t="s">
        <v>65</v>
      </c>
      <c r="C21" t="s">
        <v>246</v>
      </c>
      <c r="D21" t="s">
        <v>43</v>
      </c>
      <c r="F21" t="s">
        <v>251</v>
      </c>
      <c r="G21" t="s">
        <v>252</v>
      </c>
      <c r="H21" t="s">
        <v>16</v>
      </c>
      <c r="I21" t="s">
        <v>253</v>
      </c>
      <c r="J21" t="s">
        <v>254</v>
      </c>
      <c r="K21" s="4" t="s">
        <v>749</v>
      </c>
    </row>
    <row r="22" spans="1:11" x14ac:dyDescent="0.25">
      <c r="A22" t="s">
        <v>181</v>
      </c>
      <c r="B22" t="s">
        <v>65</v>
      </c>
      <c r="C22" t="s">
        <v>249</v>
      </c>
      <c r="D22" t="s">
        <v>16</v>
      </c>
      <c r="E22" t="s">
        <v>193</v>
      </c>
      <c r="F22" t="s">
        <v>255</v>
      </c>
      <c r="G22" t="s">
        <v>256</v>
      </c>
      <c r="H22" t="s">
        <v>51</v>
      </c>
      <c r="I22" t="s">
        <v>257</v>
      </c>
      <c r="J22" t="s">
        <v>258</v>
      </c>
      <c r="K22" s="4" t="s">
        <v>749</v>
      </c>
    </row>
    <row r="23" spans="1:11" x14ac:dyDescent="0.25">
      <c r="A23" t="s">
        <v>181</v>
      </c>
      <c r="B23" t="s">
        <v>65</v>
      </c>
      <c r="C23" t="s">
        <v>252</v>
      </c>
      <c r="D23" t="s">
        <v>16</v>
      </c>
      <c r="E23" t="s">
        <v>253</v>
      </c>
      <c r="F23" t="s">
        <v>259</v>
      </c>
      <c r="G23" t="s">
        <v>260</v>
      </c>
      <c r="H23" t="s">
        <v>16</v>
      </c>
      <c r="I23" t="s">
        <v>261</v>
      </c>
      <c r="J23" t="s">
        <v>262</v>
      </c>
      <c r="K23" s="4" t="s">
        <v>749</v>
      </c>
    </row>
    <row r="24" spans="1:11" x14ac:dyDescent="0.25">
      <c r="A24" t="s">
        <v>181</v>
      </c>
      <c r="B24" t="s">
        <v>65</v>
      </c>
      <c r="C24" t="s">
        <v>260</v>
      </c>
      <c r="D24" t="s">
        <v>16</v>
      </c>
      <c r="E24" t="s">
        <v>261</v>
      </c>
      <c r="F24" t="s">
        <v>263</v>
      </c>
      <c r="G24" t="s">
        <v>264</v>
      </c>
      <c r="H24" t="s">
        <v>13</v>
      </c>
      <c r="J24" t="s">
        <v>265</v>
      </c>
      <c r="K24" s="4" t="s">
        <v>749</v>
      </c>
    </row>
    <row r="25" spans="1:11" x14ac:dyDescent="0.25">
      <c r="A25" t="s">
        <v>181</v>
      </c>
      <c r="B25" t="s">
        <v>65</v>
      </c>
      <c r="C25" t="s">
        <v>264</v>
      </c>
      <c r="D25" t="s">
        <v>13</v>
      </c>
      <c r="F25" t="s">
        <v>266</v>
      </c>
      <c r="G25" t="s">
        <v>267</v>
      </c>
      <c r="H25" t="s">
        <v>16</v>
      </c>
      <c r="I25" t="s">
        <v>268</v>
      </c>
      <c r="J25" t="s">
        <v>269</v>
      </c>
      <c r="K25" s="4" t="s">
        <v>749</v>
      </c>
    </row>
    <row r="26" spans="1:11" x14ac:dyDescent="0.25">
      <c r="A26" t="s">
        <v>181</v>
      </c>
      <c r="B26" t="s">
        <v>65</v>
      </c>
      <c r="C26" t="s">
        <v>264</v>
      </c>
      <c r="D26" t="s">
        <v>13</v>
      </c>
      <c r="F26" t="s">
        <v>270</v>
      </c>
      <c r="G26" t="s">
        <v>271</v>
      </c>
      <c r="H26" t="s">
        <v>16</v>
      </c>
      <c r="I26" t="s">
        <v>272</v>
      </c>
      <c r="J26" t="s">
        <v>273</v>
      </c>
      <c r="K26" s="4" t="s">
        <v>749</v>
      </c>
    </row>
    <row r="27" spans="1:11" x14ac:dyDescent="0.25">
      <c r="A27" t="s">
        <v>181</v>
      </c>
      <c r="B27" t="s">
        <v>65</v>
      </c>
      <c r="C27" t="s">
        <v>271</v>
      </c>
      <c r="D27" t="s">
        <v>16</v>
      </c>
      <c r="E27" t="s">
        <v>272</v>
      </c>
      <c r="F27" t="s">
        <v>274</v>
      </c>
      <c r="G27" t="s">
        <v>275</v>
      </c>
      <c r="H27" t="s">
        <v>16</v>
      </c>
      <c r="I27" t="s">
        <v>276</v>
      </c>
      <c r="J27" t="s">
        <v>277</v>
      </c>
      <c r="K27" s="4" t="s">
        <v>749</v>
      </c>
    </row>
    <row r="28" spans="1:11" x14ac:dyDescent="0.25">
      <c r="A28" t="s">
        <v>181</v>
      </c>
      <c r="B28" t="s">
        <v>65</v>
      </c>
      <c r="C28" t="s">
        <v>267</v>
      </c>
      <c r="D28" t="s">
        <v>16</v>
      </c>
      <c r="E28" t="s">
        <v>268</v>
      </c>
      <c r="F28" t="s">
        <v>278</v>
      </c>
      <c r="G28" t="s">
        <v>279</v>
      </c>
      <c r="H28" t="s">
        <v>16</v>
      </c>
      <c r="I28" t="s">
        <v>280</v>
      </c>
      <c r="J28" t="s">
        <v>281</v>
      </c>
      <c r="K28" s="4" t="s">
        <v>749</v>
      </c>
    </row>
    <row r="29" spans="1:11" x14ac:dyDescent="0.25">
      <c r="A29" t="s">
        <v>181</v>
      </c>
      <c r="B29" t="s">
        <v>65</v>
      </c>
      <c r="C29" t="s">
        <v>279</v>
      </c>
      <c r="D29" t="s">
        <v>16</v>
      </c>
      <c r="E29" t="s">
        <v>280</v>
      </c>
      <c r="F29" t="s">
        <v>282</v>
      </c>
      <c r="G29" t="s">
        <v>283</v>
      </c>
      <c r="H29" t="s">
        <v>13</v>
      </c>
      <c r="J29" t="s">
        <v>284</v>
      </c>
      <c r="K29" s="4" t="s">
        <v>749</v>
      </c>
    </row>
    <row r="30" spans="1:11" x14ac:dyDescent="0.25">
      <c r="A30" t="s">
        <v>181</v>
      </c>
      <c r="B30" t="s">
        <v>65</v>
      </c>
      <c r="C30" t="s">
        <v>275</v>
      </c>
      <c r="D30" t="s">
        <v>16</v>
      </c>
      <c r="E30" t="s">
        <v>276</v>
      </c>
      <c r="F30" t="s">
        <v>285</v>
      </c>
      <c r="G30" t="s">
        <v>283</v>
      </c>
      <c r="H30" t="s">
        <v>13</v>
      </c>
      <c r="J30" t="s">
        <v>286</v>
      </c>
      <c r="K30" s="4" t="s">
        <v>749</v>
      </c>
    </row>
    <row r="31" spans="1:11" x14ac:dyDescent="0.25">
      <c r="A31" t="s">
        <v>181</v>
      </c>
      <c r="B31" t="s">
        <v>65</v>
      </c>
      <c r="C31" t="s">
        <v>283</v>
      </c>
      <c r="D31" t="s">
        <v>13</v>
      </c>
      <c r="F31" t="s">
        <v>287</v>
      </c>
      <c r="G31" t="s">
        <v>288</v>
      </c>
      <c r="H31" t="s">
        <v>16</v>
      </c>
      <c r="I31" t="s">
        <v>289</v>
      </c>
      <c r="J31" t="s">
        <v>290</v>
      </c>
      <c r="K31" s="4" t="s">
        <v>749</v>
      </c>
    </row>
    <row r="32" spans="1:11" x14ac:dyDescent="0.25">
      <c r="A32" t="s">
        <v>181</v>
      </c>
      <c r="B32" t="s">
        <v>65</v>
      </c>
      <c r="C32" t="s">
        <v>288</v>
      </c>
      <c r="D32" t="s">
        <v>16</v>
      </c>
      <c r="E32" t="s">
        <v>289</v>
      </c>
      <c r="F32" t="s">
        <v>291</v>
      </c>
      <c r="G32" t="s">
        <v>292</v>
      </c>
      <c r="H32" t="s">
        <v>51</v>
      </c>
      <c r="I32" t="s">
        <v>293</v>
      </c>
      <c r="J32" t="s">
        <v>294</v>
      </c>
      <c r="K32" s="4" t="s">
        <v>749</v>
      </c>
    </row>
    <row r="34" spans="1:11" x14ac:dyDescent="0.25">
      <c r="A34" t="s">
        <v>181</v>
      </c>
      <c r="B34" t="s">
        <v>115</v>
      </c>
      <c r="C34" t="s">
        <v>295</v>
      </c>
      <c r="D34" t="s">
        <v>27</v>
      </c>
      <c r="F34" t="s">
        <v>296</v>
      </c>
      <c r="G34" t="s">
        <v>297</v>
      </c>
      <c r="H34" t="s">
        <v>16</v>
      </c>
      <c r="I34" t="s">
        <v>298</v>
      </c>
      <c r="J34" t="s">
        <v>299</v>
      </c>
      <c r="K34" s="4" t="s">
        <v>750</v>
      </c>
    </row>
    <row r="35" spans="1:11" x14ac:dyDescent="0.25">
      <c r="A35" t="s">
        <v>181</v>
      </c>
      <c r="B35" t="s">
        <v>115</v>
      </c>
      <c r="C35" t="s">
        <v>297</v>
      </c>
      <c r="D35" t="s">
        <v>16</v>
      </c>
      <c r="E35" t="s">
        <v>298</v>
      </c>
      <c r="F35" t="s">
        <v>300</v>
      </c>
      <c r="G35" t="s">
        <v>301</v>
      </c>
      <c r="H35" t="s">
        <v>43</v>
      </c>
      <c r="I35" t="s">
        <v>302</v>
      </c>
      <c r="J35" t="s">
        <v>303</v>
      </c>
      <c r="K35" s="4" t="s">
        <v>750</v>
      </c>
    </row>
    <row r="36" spans="1:11" x14ac:dyDescent="0.25">
      <c r="A36" t="s">
        <v>181</v>
      </c>
      <c r="B36" t="s">
        <v>115</v>
      </c>
      <c r="C36" t="s">
        <v>301</v>
      </c>
      <c r="D36" t="s">
        <v>43</v>
      </c>
      <c r="E36" t="s">
        <v>302</v>
      </c>
      <c r="F36" t="s">
        <v>304</v>
      </c>
      <c r="G36" t="s">
        <v>305</v>
      </c>
      <c r="H36" t="s">
        <v>13</v>
      </c>
      <c r="J36" t="s">
        <v>306</v>
      </c>
      <c r="K36" s="4" t="s">
        <v>750</v>
      </c>
    </row>
    <row r="37" spans="1:11" x14ac:dyDescent="0.25">
      <c r="A37" t="s">
        <v>181</v>
      </c>
      <c r="B37" t="s">
        <v>115</v>
      </c>
      <c r="C37" t="s">
        <v>305</v>
      </c>
      <c r="D37" t="s">
        <v>13</v>
      </c>
      <c r="F37" t="s">
        <v>307</v>
      </c>
      <c r="G37" t="s">
        <v>308</v>
      </c>
      <c r="H37" t="s">
        <v>16</v>
      </c>
      <c r="I37" t="s">
        <v>309</v>
      </c>
      <c r="J37" t="s">
        <v>310</v>
      </c>
      <c r="K37" s="4" t="s">
        <v>750</v>
      </c>
    </row>
    <row r="38" spans="1:11" x14ac:dyDescent="0.25">
      <c r="A38" t="s">
        <v>181</v>
      </c>
      <c r="B38" t="s">
        <v>115</v>
      </c>
      <c r="C38" t="s">
        <v>301</v>
      </c>
      <c r="D38" t="s">
        <v>43</v>
      </c>
      <c r="E38" t="s">
        <v>302</v>
      </c>
      <c r="F38" t="s">
        <v>311</v>
      </c>
      <c r="G38" t="s">
        <v>312</v>
      </c>
      <c r="H38" t="s">
        <v>16</v>
      </c>
      <c r="I38" t="s">
        <v>193</v>
      </c>
      <c r="J38" t="s">
        <v>313</v>
      </c>
      <c r="K38" s="4" t="s">
        <v>749</v>
      </c>
    </row>
    <row r="39" spans="1:11" x14ac:dyDescent="0.25">
      <c r="A39" t="s">
        <v>181</v>
      </c>
      <c r="B39" t="s">
        <v>115</v>
      </c>
      <c r="C39" t="s">
        <v>312</v>
      </c>
      <c r="D39" t="s">
        <v>16</v>
      </c>
      <c r="E39" t="s">
        <v>193</v>
      </c>
      <c r="F39" t="s">
        <v>314</v>
      </c>
      <c r="G39" t="s">
        <v>315</v>
      </c>
      <c r="H39" t="s">
        <v>51</v>
      </c>
      <c r="J39" t="s">
        <v>316</v>
      </c>
      <c r="K39" s="4" t="s">
        <v>749</v>
      </c>
    </row>
    <row r="40" spans="1:11" x14ac:dyDescent="0.25">
      <c r="A40" t="s">
        <v>181</v>
      </c>
      <c r="B40" t="s">
        <v>115</v>
      </c>
      <c r="C40" t="s">
        <v>305</v>
      </c>
      <c r="D40" t="s">
        <v>13</v>
      </c>
      <c r="F40" t="s">
        <v>317</v>
      </c>
      <c r="G40" t="s">
        <v>318</v>
      </c>
      <c r="H40" t="s">
        <v>16</v>
      </c>
      <c r="I40" t="s">
        <v>319</v>
      </c>
      <c r="J40" t="s">
        <v>320</v>
      </c>
      <c r="K40" s="4" t="s">
        <v>750</v>
      </c>
    </row>
    <row r="41" spans="1:11" x14ac:dyDescent="0.25">
      <c r="A41" t="s">
        <v>181</v>
      </c>
      <c r="B41" t="s">
        <v>115</v>
      </c>
      <c r="C41" t="s">
        <v>308</v>
      </c>
      <c r="D41" t="s">
        <v>16</v>
      </c>
      <c r="E41" t="s">
        <v>309</v>
      </c>
      <c r="F41" t="s">
        <v>321</v>
      </c>
      <c r="G41" t="s">
        <v>322</v>
      </c>
      <c r="H41" t="s">
        <v>13</v>
      </c>
      <c r="J41" t="s">
        <v>323</v>
      </c>
      <c r="K41" s="4" t="s">
        <v>750</v>
      </c>
    </row>
    <row r="42" spans="1:11" x14ac:dyDescent="0.25">
      <c r="A42" t="s">
        <v>181</v>
      </c>
      <c r="B42" t="s">
        <v>115</v>
      </c>
      <c r="C42" t="s">
        <v>318</v>
      </c>
      <c r="D42" t="s">
        <v>16</v>
      </c>
      <c r="E42" t="s">
        <v>319</v>
      </c>
      <c r="F42" t="s">
        <v>324</v>
      </c>
      <c r="G42" t="s">
        <v>322</v>
      </c>
      <c r="H42" t="s">
        <v>13</v>
      </c>
      <c r="J42" t="s">
        <v>325</v>
      </c>
      <c r="K42" s="4" t="s">
        <v>750</v>
      </c>
    </row>
    <row r="43" spans="1:11" x14ac:dyDescent="0.25">
      <c r="A43" t="s">
        <v>181</v>
      </c>
      <c r="B43" t="s">
        <v>115</v>
      </c>
      <c r="C43" t="s">
        <v>322</v>
      </c>
      <c r="D43" t="s">
        <v>13</v>
      </c>
      <c r="F43" t="s">
        <v>326</v>
      </c>
      <c r="G43" t="s">
        <v>327</v>
      </c>
      <c r="H43" t="s">
        <v>13</v>
      </c>
      <c r="J43" t="s">
        <v>328</v>
      </c>
      <c r="K43" s="4" t="s">
        <v>750</v>
      </c>
    </row>
    <row r="44" spans="1:11" x14ac:dyDescent="0.25">
      <c r="A44" t="s">
        <v>181</v>
      </c>
      <c r="B44" t="s">
        <v>115</v>
      </c>
      <c r="C44" t="s">
        <v>327</v>
      </c>
      <c r="D44" t="s">
        <v>13</v>
      </c>
      <c r="F44" t="s">
        <v>329</v>
      </c>
      <c r="G44" t="s">
        <v>330</v>
      </c>
      <c r="H44" t="s">
        <v>16</v>
      </c>
      <c r="I44" t="s">
        <v>331</v>
      </c>
      <c r="J44" t="s">
        <v>332</v>
      </c>
      <c r="K44" s="4" t="s">
        <v>750</v>
      </c>
    </row>
    <row r="45" spans="1:11" x14ac:dyDescent="0.25">
      <c r="A45" t="s">
        <v>181</v>
      </c>
      <c r="B45" t="s">
        <v>115</v>
      </c>
      <c r="C45" t="s">
        <v>327</v>
      </c>
      <c r="D45" t="s">
        <v>13</v>
      </c>
      <c r="F45" t="s">
        <v>333</v>
      </c>
      <c r="G45" t="s">
        <v>334</v>
      </c>
      <c r="H45" t="s">
        <v>16</v>
      </c>
      <c r="I45" t="s">
        <v>335</v>
      </c>
      <c r="J45" t="s">
        <v>336</v>
      </c>
      <c r="K45" s="4" t="s">
        <v>749</v>
      </c>
    </row>
    <row r="46" spans="1:11" x14ac:dyDescent="0.25">
      <c r="A46" t="s">
        <v>181</v>
      </c>
      <c r="B46" t="s">
        <v>115</v>
      </c>
      <c r="C46" t="s">
        <v>334</v>
      </c>
      <c r="D46" t="s">
        <v>16</v>
      </c>
      <c r="E46" t="s">
        <v>335</v>
      </c>
      <c r="F46" t="s">
        <v>337</v>
      </c>
      <c r="G46" t="s">
        <v>338</v>
      </c>
      <c r="H46" t="s">
        <v>16</v>
      </c>
      <c r="I46" t="s">
        <v>339</v>
      </c>
      <c r="J46" t="s">
        <v>340</v>
      </c>
      <c r="K46" s="4" t="s">
        <v>749</v>
      </c>
    </row>
    <row r="47" spans="1:11" x14ac:dyDescent="0.25">
      <c r="A47" t="s">
        <v>181</v>
      </c>
      <c r="B47" t="s">
        <v>115</v>
      </c>
      <c r="C47" t="s">
        <v>338</v>
      </c>
      <c r="D47" t="s">
        <v>16</v>
      </c>
      <c r="E47" t="s">
        <v>339</v>
      </c>
      <c r="F47" t="s">
        <v>341</v>
      </c>
      <c r="G47" t="s">
        <v>342</v>
      </c>
      <c r="H47" t="s">
        <v>13</v>
      </c>
      <c r="J47" t="s">
        <v>343</v>
      </c>
      <c r="K47" s="4" t="s">
        <v>749</v>
      </c>
    </row>
    <row r="48" spans="1:11" x14ac:dyDescent="0.25">
      <c r="A48" t="s">
        <v>181</v>
      </c>
      <c r="B48" t="s">
        <v>115</v>
      </c>
      <c r="C48" t="s">
        <v>330</v>
      </c>
      <c r="D48" t="s">
        <v>16</v>
      </c>
      <c r="E48" t="s">
        <v>331</v>
      </c>
      <c r="F48" t="s">
        <v>344</v>
      </c>
      <c r="G48" t="s">
        <v>342</v>
      </c>
      <c r="H48" t="s">
        <v>13</v>
      </c>
      <c r="J48" t="s">
        <v>345</v>
      </c>
      <c r="K48" s="4" t="s">
        <v>749</v>
      </c>
    </row>
    <row r="49" spans="1:11" x14ac:dyDescent="0.25">
      <c r="A49" t="s">
        <v>181</v>
      </c>
      <c r="B49" t="s">
        <v>115</v>
      </c>
      <c r="C49" t="s">
        <v>342</v>
      </c>
      <c r="D49" t="s">
        <v>13</v>
      </c>
      <c r="F49" t="s">
        <v>346</v>
      </c>
      <c r="G49" t="s">
        <v>347</v>
      </c>
      <c r="H49" t="s">
        <v>16</v>
      </c>
      <c r="I49" t="s">
        <v>348</v>
      </c>
      <c r="J49" t="s">
        <v>349</v>
      </c>
      <c r="K49" s="4" t="s">
        <v>749</v>
      </c>
    </row>
    <row r="50" spans="1:11" x14ac:dyDescent="0.25">
      <c r="A50" t="s">
        <v>181</v>
      </c>
      <c r="B50" t="s">
        <v>115</v>
      </c>
      <c r="C50" t="s">
        <v>347</v>
      </c>
      <c r="D50" t="s">
        <v>16</v>
      </c>
      <c r="E50" t="s">
        <v>348</v>
      </c>
      <c r="F50" t="s">
        <v>350</v>
      </c>
      <c r="G50" t="s">
        <v>351</v>
      </c>
      <c r="H50" t="s">
        <v>51</v>
      </c>
      <c r="J50" t="s">
        <v>352</v>
      </c>
      <c r="K50" s="4" t="s">
        <v>749</v>
      </c>
    </row>
    <row r="51" spans="1:11" x14ac:dyDescent="0.25">
      <c r="A51" t="s">
        <v>181</v>
      </c>
      <c r="B51" t="s">
        <v>11</v>
      </c>
      <c r="C51" t="s">
        <v>182</v>
      </c>
      <c r="D51" t="s">
        <v>27</v>
      </c>
      <c r="E51" t="s">
        <v>183</v>
      </c>
      <c r="F51" t="s">
        <v>184</v>
      </c>
      <c r="G51" t="s">
        <v>185</v>
      </c>
      <c r="H51" t="s">
        <v>16</v>
      </c>
      <c r="I51" t="s">
        <v>186</v>
      </c>
      <c r="J51" t="s">
        <v>187</v>
      </c>
      <c r="K51" s="4" t="s">
        <v>751</v>
      </c>
    </row>
    <row r="52" spans="1:11" x14ac:dyDescent="0.25">
      <c r="A52" t="s">
        <v>181</v>
      </c>
      <c r="B52" t="s">
        <v>11</v>
      </c>
      <c r="C52" t="s">
        <v>185</v>
      </c>
      <c r="D52" t="s">
        <v>16</v>
      </c>
      <c r="E52" t="s">
        <v>186</v>
      </c>
      <c r="F52" t="s">
        <v>188</v>
      </c>
      <c r="G52" t="s">
        <v>189</v>
      </c>
      <c r="H52" t="s">
        <v>43</v>
      </c>
      <c r="J52" t="s">
        <v>190</v>
      </c>
      <c r="K52" s="4" t="s">
        <v>751</v>
      </c>
    </row>
    <row r="53" spans="1:11" x14ac:dyDescent="0.25">
      <c r="A53" t="s">
        <v>181</v>
      </c>
      <c r="B53" t="s">
        <v>11</v>
      </c>
      <c r="C53" t="s">
        <v>189</v>
      </c>
      <c r="D53" t="s">
        <v>43</v>
      </c>
      <c r="F53" t="s">
        <v>199</v>
      </c>
      <c r="G53" t="s">
        <v>200</v>
      </c>
      <c r="H53" t="s">
        <v>16</v>
      </c>
      <c r="I53" t="s">
        <v>201</v>
      </c>
      <c r="J53" t="s">
        <v>202</v>
      </c>
      <c r="K53" s="4" t="s">
        <v>751</v>
      </c>
    </row>
    <row r="54" spans="1:11" x14ac:dyDescent="0.25">
      <c r="A54" t="s">
        <v>181</v>
      </c>
      <c r="B54" t="s">
        <v>11</v>
      </c>
      <c r="C54" t="s">
        <v>200</v>
      </c>
      <c r="D54" t="s">
        <v>16</v>
      </c>
      <c r="E54" t="s">
        <v>201</v>
      </c>
      <c r="F54" t="s">
        <v>203</v>
      </c>
      <c r="G54" t="s">
        <v>204</v>
      </c>
      <c r="H54" t="s">
        <v>16</v>
      </c>
      <c r="I54" t="s">
        <v>205</v>
      </c>
      <c r="J54" t="s">
        <v>206</v>
      </c>
      <c r="K54" s="4" t="s">
        <v>751</v>
      </c>
    </row>
    <row r="55" spans="1:11" x14ac:dyDescent="0.25">
      <c r="A55" t="s">
        <v>181</v>
      </c>
      <c r="B55" t="s">
        <v>11</v>
      </c>
      <c r="C55" t="s">
        <v>204</v>
      </c>
      <c r="D55" t="s">
        <v>16</v>
      </c>
      <c r="E55" t="s">
        <v>205</v>
      </c>
      <c r="F55" t="s">
        <v>207</v>
      </c>
      <c r="G55" t="s">
        <v>208</v>
      </c>
      <c r="H55" t="s">
        <v>13</v>
      </c>
      <c r="J55" t="s">
        <v>209</v>
      </c>
      <c r="K55" s="4" t="s">
        <v>751</v>
      </c>
    </row>
    <row r="56" spans="1:11" x14ac:dyDescent="0.25">
      <c r="A56" t="s">
        <v>181</v>
      </c>
      <c r="B56" t="s">
        <v>11</v>
      </c>
      <c r="C56" t="s">
        <v>208</v>
      </c>
      <c r="D56" t="s">
        <v>13</v>
      </c>
      <c r="F56" t="s">
        <v>210</v>
      </c>
      <c r="G56" t="s">
        <v>211</v>
      </c>
      <c r="H56" t="s">
        <v>16</v>
      </c>
      <c r="I56" t="s">
        <v>212</v>
      </c>
      <c r="J56" t="s">
        <v>213</v>
      </c>
      <c r="K56" s="4" t="s">
        <v>751</v>
      </c>
    </row>
    <row r="57" spans="1:11" x14ac:dyDescent="0.25">
      <c r="A57" t="s">
        <v>181</v>
      </c>
      <c r="B57" t="s">
        <v>11</v>
      </c>
      <c r="C57" t="s">
        <v>211</v>
      </c>
      <c r="D57" t="s">
        <v>16</v>
      </c>
      <c r="E57" t="s">
        <v>212</v>
      </c>
      <c r="F57" t="s">
        <v>214</v>
      </c>
      <c r="G57" t="s">
        <v>215</v>
      </c>
      <c r="H57" t="s">
        <v>16</v>
      </c>
      <c r="I57" t="s">
        <v>216</v>
      </c>
      <c r="J57" t="s">
        <v>217</v>
      </c>
      <c r="K57" s="4" t="s">
        <v>751</v>
      </c>
    </row>
    <row r="59" spans="1:11" x14ac:dyDescent="0.25">
      <c r="A59" t="s">
        <v>181</v>
      </c>
      <c r="B59" t="s">
        <v>172</v>
      </c>
      <c r="C59" t="s">
        <v>353</v>
      </c>
      <c r="D59" t="s">
        <v>27</v>
      </c>
      <c r="E59" t="s">
        <v>354</v>
      </c>
      <c r="F59" t="s">
        <v>355</v>
      </c>
      <c r="G59" t="s">
        <v>356</v>
      </c>
      <c r="H59" t="s">
        <v>16</v>
      </c>
      <c r="I59" t="s">
        <v>357</v>
      </c>
      <c r="J59" t="s">
        <v>358</v>
      </c>
      <c r="K59" s="4" t="s">
        <v>749</v>
      </c>
    </row>
    <row r="60" spans="1:11" x14ac:dyDescent="0.25">
      <c r="A60" t="s">
        <v>181</v>
      </c>
      <c r="B60" t="s">
        <v>172</v>
      </c>
      <c r="C60" t="s">
        <v>356</v>
      </c>
      <c r="D60" t="s">
        <v>16</v>
      </c>
      <c r="E60" t="s">
        <v>357</v>
      </c>
      <c r="F60" t="s">
        <v>359</v>
      </c>
      <c r="G60" t="s">
        <v>360</v>
      </c>
      <c r="H60" t="s">
        <v>43</v>
      </c>
      <c r="I60" t="s">
        <v>361</v>
      </c>
      <c r="J60" t="s">
        <v>362</v>
      </c>
      <c r="K60" s="4" t="s">
        <v>749</v>
      </c>
    </row>
    <row r="61" spans="1:11" x14ac:dyDescent="0.25">
      <c r="A61" t="s">
        <v>181</v>
      </c>
      <c r="B61" t="s">
        <v>172</v>
      </c>
      <c r="C61" t="s">
        <v>363</v>
      </c>
      <c r="D61" t="s">
        <v>16</v>
      </c>
      <c r="E61" t="s">
        <v>364</v>
      </c>
      <c r="F61" t="s">
        <v>365</v>
      </c>
      <c r="G61" t="s">
        <v>366</v>
      </c>
      <c r="H61" t="s">
        <v>16</v>
      </c>
      <c r="I61" t="s">
        <v>205</v>
      </c>
      <c r="J61" t="s">
        <v>367</v>
      </c>
      <c r="K61" s="4" t="s">
        <v>749</v>
      </c>
    </row>
    <row r="62" spans="1:11" x14ac:dyDescent="0.25">
      <c r="A62" t="s">
        <v>181</v>
      </c>
      <c r="B62" t="s">
        <v>172</v>
      </c>
      <c r="C62" t="s">
        <v>366</v>
      </c>
      <c r="D62" t="s">
        <v>16</v>
      </c>
      <c r="E62" t="s">
        <v>205</v>
      </c>
      <c r="F62" t="s">
        <v>368</v>
      </c>
      <c r="G62" t="s">
        <v>369</v>
      </c>
      <c r="H62" t="s">
        <v>16</v>
      </c>
      <c r="I62" t="s">
        <v>370</v>
      </c>
      <c r="J62" t="s">
        <v>371</v>
      </c>
      <c r="K62" s="4" t="s">
        <v>750</v>
      </c>
    </row>
    <row r="63" spans="1:11" x14ac:dyDescent="0.25">
      <c r="A63" t="s">
        <v>181</v>
      </c>
      <c r="B63" t="s">
        <v>172</v>
      </c>
      <c r="C63" t="s">
        <v>369</v>
      </c>
      <c r="D63" t="s">
        <v>16</v>
      </c>
      <c r="E63" t="s">
        <v>370</v>
      </c>
      <c r="F63" t="s">
        <v>372</v>
      </c>
      <c r="G63" t="s">
        <v>373</v>
      </c>
      <c r="H63" t="s">
        <v>16</v>
      </c>
      <c r="I63" t="s">
        <v>331</v>
      </c>
      <c r="J63" t="s">
        <v>374</v>
      </c>
      <c r="K63" s="4" t="s">
        <v>749</v>
      </c>
    </row>
    <row r="64" spans="1:11" x14ac:dyDescent="0.25">
      <c r="A64" t="s">
        <v>181</v>
      </c>
      <c r="B64" t="s">
        <v>172</v>
      </c>
      <c r="C64" t="s">
        <v>373</v>
      </c>
      <c r="D64" t="s">
        <v>16</v>
      </c>
      <c r="E64" t="s">
        <v>331</v>
      </c>
      <c r="F64" t="s">
        <v>375</v>
      </c>
      <c r="G64" t="s">
        <v>376</v>
      </c>
      <c r="H64" t="s">
        <v>13</v>
      </c>
      <c r="J64" t="s">
        <v>377</v>
      </c>
      <c r="K64" s="4" t="s">
        <v>749</v>
      </c>
    </row>
    <row r="65" spans="1:11" x14ac:dyDescent="0.25">
      <c r="A65" t="s">
        <v>181</v>
      </c>
      <c r="B65" t="s">
        <v>172</v>
      </c>
      <c r="C65" t="s">
        <v>378</v>
      </c>
      <c r="D65" t="s">
        <v>16</v>
      </c>
      <c r="E65" t="s">
        <v>379</v>
      </c>
      <c r="F65" t="s">
        <v>380</v>
      </c>
      <c r="G65" t="s">
        <v>381</v>
      </c>
      <c r="H65" t="s">
        <v>13</v>
      </c>
      <c r="J65" t="s">
        <v>382</v>
      </c>
      <c r="K65" s="4" t="s">
        <v>750</v>
      </c>
    </row>
    <row r="66" spans="1:11" x14ac:dyDescent="0.25">
      <c r="A66" t="s">
        <v>181</v>
      </c>
      <c r="B66" t="s">
        <v>172</v>
      </c>
      <c r="C66" t="s">
        <v>376</v>
      </c>
      <c r="D66" t="s">
        <v>13</v>
      </c>
      <c r="F66" t="s">
        <v>383</v>
      </c>
      <c r="G66" t="s">
        <v>378</v>
      </c>
      <c r="H66" t="s">
        <v>16</v>
      </c>
      <c r="I66" t="s">
        <v>379</v>
      </c>
      <c r="J66" t="s">
        <v>384</v>
      </c>
      <c r="K66" s="4" t="s">
        <v>749</v>
      </c>
    </row>
    <row r="67" spans="1:11" x14ac:dyDescent="0.25">
      <c r="A67" t="s">
        <v>181</v>
      </c>
      <c r="B67" t="s">
        <v>172</v>
      </c>
      <c r="C67" t="s">
        <v>385</v>
      </c>
      <c r="D67" t="s">
        <v>16</v>
      </c>
      <c r="E67" t="s">
        <v>386</v>
      </c>
      <c r="F67" t="s">
        <v>387</v>
      </c>
      <c r="G67" t="s">
        <v>381</v>
      </c>
      <c r="H67" t="s">
        <v>13</v>
      </c>
      <c r="J67" t="s">
        <v>388</v>
      </c>
      <c r="K67" s="4" t="s">
        <v>749</v>
      </c>
    </row>
    <row r="68" spans="1:11" x14ac:dyDescent="0.25">
      <c r="A68" t="s">
        <v>181</v>
      </c>
      <c r="B68" t="s">
        <v>172</v>
      </c>
      <c r="C68" t="s">
        <v>376</v>
      </c>
      <c r="D68" t="s">
        <v>13</v>
      </c>
      <c r="F68" t="s">
        <v>389</v>
      </c>
      <c r="G68" t="s">
        <v>385</v>
      </c>
      <c r="H68" t="s">
        <v>16</v>
      </c>
      <c r="I68" t="s">
        <v>386</v>
      </c>
      <c r="J68" t="s">
        <v>390</v>
      </c>
      <c r="K68" s="4" t="s">
        <v>750</v>
      </c>
    </row>
    <row r="69" spans="1:11" x14ac:dyDescent="0.25">
      <c r="A69" t="s">
        <v>181</v>
      </c>
      <c r="B69" t="s">
        <v>172</v>
      </c>
      <c r="C69" t="s">
        <v>381</v>
      </c>
      <c r="D69" t="s">
        <v>13</v>
      </c>
      <c r="F69" t="s">
        <v>391</v>
      </c>
      <c r="G69" t="s">
        <v>392</v>
      </c>
      <c r="H69" t="s">
        <v>16</v>
      </c>
      <c r="I69" t="s">
        <v>393</v>
      </c>
      <c r="J69" t="s">
        <v>394</v>
      </c>
      <c r="K69" s="4" t="s">
        <v>749</v>
      </c>
    </row>
    <row r="70" spans="1:11" x14ac:dyDescent="0.25">
      <c r="A70" t="s">
        <v>181</v>
      </c>
      <c r="B70" t="s">
        <v>172</v>
      </c>
      <c r="C70" t="s">
        <v>392</v>
      </c>
      <c r="D70" t="s">
        <v>16</v>
      </c>
      <c r="E70" t="s">
        <v>393</v>
      </c>
      <c r="F70" t="s">
        <v>395</v>
      </c>
      <c r="G70" t="s">
        <v>396</v>
      </c>
      <c r="H70" t="s">
        <v>51</v>
      </c>
      <c r="I70" t="s">
        <v>397</v>
      </c>
      <c r="J70" t="s">
        <v>398</v>
      </c>
      <c r="K70" s="4" t="s">
        <v>749</v>
      </c>
    </row>
    <row r="71" spans="1:11" x14ac:dyDescent="0.25">
      <c r="A71" t="s">
        <v>181</v>
      </c>
      <c r="B71" t="s">
        <v>172</v>
      </c>
      <c r="C71" t="s">
        <v>360</v>
      </c>
      <c r="D71" t="s">
        <v>43</v>
      </c>
      <c r="E71" t="s">
        <v>361</v>
      </c>
      <c r="F71" t="s">
        <v>399</v>
      </c>
      <c r="G71" t="s">
        <v>363</v>
      </c>
      <c r="H71" t="s">
        <v>16</v>
      </c>
      <c r="I71" t="s">
        <v>364</v>
      </c>
      <c r="J71" t="s">
        <v>400</v>
      </c>
      <c r="K71" s="4" t="s">
        <v>749</v>
      </c>
    </row>
    <row r="72" spans="1:11" x14ac:dyDescent="0.25">
      <c r="A72" t="s">
        <v>181</v>
      </c>
      <c r="B72" t="s">
        <v>172</v>
      </c>
      <c r="C72" t="s">
        <v>401</v>
      </c>
      <c r="D72" t="s">
        <v>16</v>
      </c>
      <c r="E72" t="s">
        <v>402</v>
      </c>
      <c r="F72" t="s">
        <v>403</v>
      </c>
      <c r="G72" t="s">
        <v>404</v>
      </c>
      <c r="H72" t="s">
        <v>51</v>
      </c>
      <c r="I72" t="s">
        <v>197</v>
      </c>
      <c r="J72" t="s">
        <v>405</v>
      </c>
      <c r="K72" s="4" t="s">
        <v>749</v>
      </c>
    </row>
    <row r="73" spans="1:11" x14ac:dyDescent="0.25">
      <c r="A73" t="s">
        <v>181</v>
      </c>
      <c r="B73" t="s">
        <v>172</v>
      </c>
      <c r="C73" t="s">
        <v>360</v>
      </c>
      <c r="D73" t="s">
        <v>43</v>
      </c>
      <c r="E73" t="s">
        <v>361</v>
      </c>
      <c r="F73" t="s">
        <v>406</v>
      </c>
      <c r="G73" t="s">
        <v>401</v>
      </c>
      <c r="H73" t="s">
        <v>16</v>
      </c>
      <c r="I73" t="s">
        <v>402</v>
      </c>
      <c r="J73" t="s">
        <v>407</v>
      </c>
      <c r="K73" s="4" t="s">
        <v>749</v>
      </c>
    </row>
    <row r="74" spans="1:11" x14ac:dyDescent="0.25">
      <c r="A74" t="s">
        <v>181</v>
      </c>
      <c r="B74" t="s">
        <v>11</v>
      </c>
      <c r="C74" t="s">
        <v>204</v>
      </c>
      <c r="D74" t="s">
        <v>16</v>
      </c>
      <c r="E74" t="s">
        <v>205</v>
      </c>
      <c r="F74" t="s">
        <v>207</v>
      </c>
      <c r="G74" t="s">
        <v>208</v>
      </c>
      <c r="H74" t="s">
        <v>13</v>
      </c>
      <c r="J74" t="s">
        <v>209</v>
      </c>
      <c r="K74" s="4" t="s">
        <v>751</v>
      </c>
    </row>
    <row r="75" spans="1:11" x14ac:dyDescent="0.25">
      <c r="A75" t="s">
        <v>181</v>
      </c>
      <c r="B75" t="s">
        <v>11</v>
      </c>
      <c r="C75" t="s">
        <v>208</v>
      </c>
      <c r="D75" t="s">
        <v>13</v>
      </c>
      <c r="F75" t="s">
        <v>210</v>
      </c>
      <c r="G75" t="s">
        <v>211</v>
      </c>
      <c r="H75" t="s">
        <v>16</v>
      </c>
      <c r="I75" t="s">
        <v>212</v>
      </c>
      <c r="J75" t="s">
        <v>213</v>
      </c>
      <c r="K75" s="4" t="s">
        <v>751</v>
      </c>
    </row>
    <row r="76" spans="1:11" x14ac:dyDescent="0.25">
      <c r="A76" t="s">
        <v>181</v>
      </c>
      <c r="B76" t="s">
        <v>11</v>
      </c>
      <c r="C76" t="s">
        <v>219</v>
      </c>
      <c r="D76" t="s">
        <v>16</v>
      </c>
      <c r="E76" t="s">
        <v>220</v>
      </c>
      <c r="F76" t="s">
        <v>222</v>
      </c>
      <c r="G76" t="s">
        <v>223</v>
      </c>
      <c r="H76" t="s">
        <v>16</v>
      </c>
      <c r="I76" t="s">
        <v>224</v>
      </c>
      <c r="J76" t="s">
        <v>225</v>
      </c>
      <c r="K76" s="4" t="s">
        <v>751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0277-AC18-41D8-ABA3-7923D35B1B7D}">
  <dimension ref="A1:P137"/>
  <sheetViews>
    <sheetView zoomScale="70" zoomScaleNormal="70" workbookViewId="0">
      <pane ySplit="1" topLeftCell="A55" activePane="bottomLeft" state="frozen"/>
      <selection activeCell="H1" sqref="H1"/>
      <selection pane="bottomLeft" activeCell="P127" sqref="P127"/>
    </sheetView>
  </sheetViews>
  <sheetFormatPr baseColWidth="10" defaultRowHeight="15" x14ac:dyDescent="0.25"/>
  <cols>
    <col min="3" max="3" width="18" bestFit="1" customWidth="1"/>
    <col min="4" max="4" width="16.5703125" bestFit="1" customWidth="1"/>
    <col min="5" max="5" width="18.42578125" customWidth="1"/>
    <col min="6" max="6" width="14.140625" bestFit="1" customWidth="1"/>
    <col min="7" max="7" width="18" bestFit="1" customWidth="1"/>
    <col min="8" max="8" width="16.5703125" bestFit="1" customWidth="1"/>
    <col min="9" max="9" width="23.85546875" customWidth="1"/>
    <col min="10" max="10" width="48" bestFit="1" customWidth="1"/>
    <col min="11" max="11" width="11.42578125" style="4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180</v>
      </c>
    </row>
    <row r="2" spans="1:12" x14ac:dyDescent="0.25">
      <c r="A2" t="s">
        <v>408</v>
      </c>
      <c r="B2" t="s">
        <v>11</v>
      </c>
      <c r="C2" t="s">
        <v>409</v>
      </c>
      <c r="D2" t="s">
        <v>27</v>
      </c>
      <c r="E2" t="s">
        <v>183</v>
      </c>
      <c r="F2" t="s">
        <v>410</v>
      </c>
      <c r="G2" t="s">
        <v>411</v>
      </c>
      <c r="H2" t="s">
        <v>16</v>
      </c>
      <c r="I2" t="s">
        <v>186</v>
      </c>
      <c r="J2" t="s">
        <v>412</v>
      </c>
      <c r="K2" s="4" t="s">
        <v>752</v>
      </c>
    </row>
    <row r="3" spans="1:12" x14ac:dyDescent="0.25">
      <c r="A3" t="s">
        <v>408</v>
      </c>
      <c r="B3" t="s">
        <v>11</v>
      </c>
      <c r="C3" t="s">
        <v>411</v>
      </c>
      <c r="D3" t="s">
        <v>16</v>
      </c>
      <c r="E3" t="s">
        <v>186</v>
      </c>
      <c r="F3" t="s">
        <v>413</v>
      </c>
      <c r="G3" t="s">
        <v>414</v>
      </c>
      <c r="H3" t="s">
        <v>43</v>
      </c>
      <c r="J3" t="s">
        <v>415</v>
      </c>
      <c r="K3" s="4" t="s">
        <v>752</v>
      </c>
    </row>
    <row r="4" spans="1:12" x14ac:dyDescent="0.25">
      <c r="A4" t="s">
        <v>408</v>
      </c>
      <c r="B4" t="s">
        <v>11</v>
      </c>
      <c r="C4" t="s">
        <v>414</v>
      </c>
      <c r="D4" t="s">
        <v>43</v>
      </c>
      <c r="F4" t="s">
        <v>416</v>
      </c>
      <c r="G4" t="s">
        <v>417</v>
      </c>
      <c r="H4" t="s">
        <v>16</v>
      </c>
      <c r="I4" t="s">
        <v>418</v>
      </c>
      <c r="J4" t="s">
        <v>419</v>
      </c>
      <c r="K4" s="4" t="s">
        <v>752</v>
      </c>
    </row>
    <row r="5" spans="1:12" x14ac:dyDescent="0.25">
      <c r="A5" t="s">
        <v>408</v>
      </c>
      <c r="B5" t="s">
        <v>11</v>
      </c>
      <c r="C5" t="s">
        <v>417</v>
      </c>
      <c r="D5" t="s">
        <v>16</v>
      </c>
      <c r="E5" t="s">
        <v>418</v>
      </c>
      <c r="F5" t="s">
        <v>420</v>
      </c>
      <c r="G5" t="s">
        <v>421</v>
      </c>
      <c r="H5" t="s">
        <v>422</v>
      </c>
      <c r="J5" t="s">
        <v>423</v>
      </c>
      <c r="K5" s="4" t="s">
        <v>752</v>
      </c>
    </row>
    <row r="6" spans="1:12" x14ac:dyDescent="0.25">
      <c r="A6" t="s">
        <v>408</v>
      </c>
      <c r="B6" t="s">
        <v>11</v>
      </c>
      <c r="C6" t="s">
        <v>421</v>
      </c>
      <c r="D6" t="s">
        <v>422</v>
      </c>
      <c r="F6" t="s">
        <v>424</v>
      </c>
      <c r="G6" t="s">
        <v>425</v>
      </c>
      <c r="H6" t="s">
        <v>16</v>
      </c>
      <c r="I6" t="s">
        <v>426</v>
      </c>
      <c r="J6" t="s">
        <v>427</v>
      </c>
      <c r="K6" s="4" t="s">
        <v>752</v>
      </c>
    </row>
    <row r="7" spans="1:12" x14ac:dyDescent="0.25">
      <c r="A7" t="s">
        <v>408</v>
      </c>
      <c r="B7" t="s">
        <v>11</v>
      </c>
      <c r="C7" t="s">
        <v>425</v>
      </c>
      <c r="D7" t="s">
        <v>16</v>
      </c>
      <c r="E7" t="s">
        <v>426</v>
      </c>
      <c r="F7" t="s">
        <v>428</v>
      </c>
      <c r="G7" t="s">
        <v>429</v>
      </c>
      <c r="H7" t="s">
        <v>16</v>
      </c>
      <c r="I7" t="s">
        <v>430</v>
      </c>
      <c r="J7" t="s">
        <v>431</v>
      </c>
      <c r="K7" s="4" t="s">
        <v>752</v>
      </c>
      <c r="L7" t="s">
        <v>748</v>
      </c>
    </row>
    <row r="8" spans="1:12" x14ac:dyDescent="0.25">
      <c r="A8" t="s">
        <v>408</v>
      </c>
      <c r="B8" t="s">
        <v>11</v>
      </c>
      <c r="C8" t="s">
        <v>421</v>
      </c>
      <c r="D8" t="s">
        <v>422</v>
      </c>
      <c r="F8" t="s">
        <v>432</v>
      </c>
      <c r="G8" t="s">
        <v>433</v>
      </c>
      <c r="H8" t="s">
        <v>16</v>
      </c>
      <c r="I8" t="s">
        <v>434</v>
      </c>
      <c r="J8" t="s">
        <v>435</v>
      </c>
      <c r="K8" s="4" t="s">
        <v>752</v>
      </c>
    </row>
    <row r="9" spans="1:12" x14ac:dyDescent="0.25">
      <c r="A9" t="s">
        <v>408</v>
      </c>
      <c r="B9" t="s">
        <v>11</v>
      </c>
      <c r="C9" t="s">
        <v>433</v>
      </c>
      <c r="D9" t="s">
        <v>16</v>
      </c>
      <c r="E9" t="s">
        <v>434</v>
      </c>
      <c r="F9" t="s">
        <v>436</v>
      </c>
      <c r="G9" t="s">
        <v>437</v>
      </c>
      <c r="H9" t="s">
        <v>16</v>
      </c>
      <c r="I9" t="s">
        <v>438</v>
      </c>
      <c r="J9" t="s">
        <v>439</v>
      </c>
      <c r="K9" s="4" t="s">
        <v>752</v>
      </c>
    </row>
    <row r="10" spans="1:12" x14ac:dyDescent="0.25">
      <c r="A10" t="s">
        <v>408</v>
      </c>
      <c r="B10" t="s">
        <v>11</v>
      </c>
      <c r="C10" t="s">
        <v>429</v>
      </c>
      <c r="D10" t="s">
        <v>16</v>
      </c>
      <c r="E10" t="s">
        <v>430</v>
      </c>
      <c r="F10" t="s">
        <v>440</v>
      </c>
      <c r="G10" t="s">
        <v>441</v>
      </c>
      <c r="H10" t="s">
        <v>422</v>
      </c>
      <c r="I10" t="s">
        <v>748</v>
      </c>
      <c r="J10" t="s">
        <v>442</v>
      </c>
      <c r="K10" s="4" t="s">
        <v>752</v>
      </c>
    </row>
    <row r="11" spans="1:12" x14ac:dyDescent="0.25">
      <c r="A11" t="s">
        <v>408</v>
      </c>
      <c r="B11" t="s">
        <v>11</v>
      </c>
      <c r="C11" t="s">
        <v>437</v>
      </c>
      <c r="D11" t="s">
        <v>16</v>
      </c>
      <c r="E11" t="s">
        <v>438</v>
      </c>
      <c r="F11" t="s">
        <v>443</v>
      </c>
      <c r="G11" t="s">
        <v>441</v>
      </c>
      <c r="H11" t="s">
        <v>422</v>
      </c>
      <c r="J11" t="s">
        <v>444</v>
      </c>
      <c r="K11" s="4" t="s">
        <v>752</v>
      </c>
    </row>
    <row r="12" spans="1:12" x14ac:dyDescent="0.25">
      <c r="A12" t="s">
        <v>408</v>
      </c>
      <c r="B12" t="s">
        <v>11</v>
      </c>
      <c r="C12" t="s">
        <v>441</v>
      </c>
      <c r="D12" t="s">
        <v>422</v>
      </c>
      <c r="F12" t="s">
        <v>445</v>
      </c>
      <c r="G12" t="s">
        <v>446</v>
      </c>
      <c r="H12" t="s">
        <v>16</v>
      </c>
      <c r="I12" t="s">
        <v>447</v>
      </c>
      <c r="J12" t="s">
        <v>448</v>
      </c>
      <c r="K12" s="4" t="s">
        <v>752</v>
      </c>
    </row>
    <row r="13" spans="1:12" x14ac:dyDescent="0.25">
      <c r="A13" t="s">
        <v>408</v>
      </c>
      <c r="B13" t="s">
        <v>11</v>
      </c>
      <c r="C13" t="s">
        <v>414</v>
      </c>
      <c r="D13" t="s">
        <v>43</v>
      </c>
      <c r="F13" t="s">
        <v>449</v>
      </c>
      <c r="G13" t="s">
        <v>450</v>
      </c>
      <c r="H13" t="s">
        <v>16</v>
      </c>
      <c r="I13" t="s">
        <v>201</v>
      </c>
      <c r="J13" t="s">
        <v>451</v>
      </c>
      <c r="K13" s="4" t="s">
        <v>752</v>
      </c>
    </row>
    <row r="14" spans="1:12" x14ac:dyDescent="0.25">
      <c r="A14" t="s">
        <v>408</v>
      </c>
      <c r="B14" t="s">
        <v>11</v>
      </c>
      <c r="C14" t="s">
        <v>450</v>
      </c>
      <c r="D14" t="s">
        <v>16</v>
      </c>
      <c r="E14" t="s">
        <v>201</v>
      </c>
      <c r="F14" t="s">
        <v>452</v>
      </c>
      <c r="G14" t="s">
        <v>453</v>
      </c>
      <c r="H14" t="s">
        <v>43</v>
      </c>
      <c r="J14" t="s">
        <v>454</v>
      </c>
      <c r="K14" s="4" t="s">
        <v>752</v>
      </c>
      <c r="L14" t="s">
        <v>748</v>
      </c>
    </row>
    <row r="15" spans="1:12" x14ac:dyDescent="0.25">
      <c r="A15" t="s">
        <v>408</v>
      </c>
      <c r="B15" t="s">
        <v>11</v>
      </c>
      <c r="C15" t="s">
        <v>453</v>
      </c>
      <c r="D15" t="s">
        <v>43</v>
      </c>
      <c r="F15" t="s">
        <v>455</v>
      </c>
      <c r="G15" t="s">
        <v>456</v>
      </c>
      <c r="H15" t="s">
        <v>16</v>
      </c>
      <c r="I15" t="s">
        <v>205</v>
      </c>
      <c r="J15" t="s">
        <v>457</v>
      </c>
      <c r="K15" s="4" t="s">
        <v>752</v>
      </c>
    </row>
    <row r="16" spans="1:12" x14ac:dyDescent="0.25">
      <c r="A16" t="s">
        <v>408</v>
      </c>
      <c r="B16" t="s">
        <v>11</v>
      </c>
      <c r="C16" t="s">
        <v>446</v>
      </c>
      <c r="D16" t="s">
        <v>16</v>
      </c>
      <c r="E16" t="s">
        <v>447</v>
      </c>
      <c r="F16" t="s">
        <v>458</v>
      </c>
      <c r="G16" t="s">
        <v>453</v>
      </c>
      <c r="H16" t="s">
        <v>43</v>
      </c>
      <c r="J16" t="s">
        <v>459</v>
      </c>
      <c r="K16" s="4" t="s">
        <v>752</v>
      </c>
      <c r="L16" t="s">
        <v>748</v>
      </c>
    </row>
    <row r="17" spans="1:16" x14ac:dyDescent="0.25">
      <c r="A17" t="s">
        <v>408</v>
      </c>
      <c r="B17" t="s">
        <v>11</v>
      </c>
      <c r="C17" t="s">
        <v>456</v>
      </c>
      <c r="D17" t="s">
        <v>16</v>
      </c>
      <c r="E17" t="s">
        <v>205</v>
      </c>
      <c r="F17" t="s">
        <v>460</v>
      </c>
      <c r="G17" t="s">
        <v>461</v>
      </c>
      <c r="H17" t="s">
        <v>13</v>
      </c>
      <c r="J17" t="s">
        <v>462</v>
      </c>
      <c r="K17" s="4" t="s">
        <v>752</v>
      </c>
    </row>
    <row r="18" spans="1:16" x14ac:dyDescent="0.25">
      <c r="A18" t="s">
        <v>408</v>
      </c>
      <c r="B18" t="s">
        <v>11</v>
      </c>
      <c r="C18" t="s">
        <v>461</v>
      </c>
      <c r="D18" t="s">
        <v>13</v>
      </c>
      <c r="F18" t="s">
        <v>463</v>
      </c>
      <c r="G18" t="s">
        <v>464</v>
      </c>
      <c r="H18" t="s">
        <v>16</v>
      </c>
      <c r="I18" t="s">
        <v>212</v>
      </c>
      <c r="J18" t="s">
        <v>465</v>
      </c>
      <c r="K18" s="4" t="s">
        <v>752</v>
      </c>
      <c r="M18" t="s">
        <v>748</v>
      </c>
    </row>
    <row r="19" spans="1:16" x14ac:dyDescent="0.25">
      <c r="A19" t="s">
        <v>408</v>
      </c>
      <c r="B19" t="s">
        <v>11</v>
      </c>
      <c r="C19" t="s">
        <v>464</v>
      </c>
      <c r="D19" t="s">
        <v>16</v>
      </c>
      <c r="E19" t="s">
        <v>212</v>
      </c>
      <c r="F19" t="s">
        <v>466</v>
      </c>
      <c r="G19" t="s">
        <v>467</v>
      </c>
      <c r="H19" t="s">
        <v>16</v>
      </c>
      <c r="I19" t="s">
        <v>216</v>
      </c>
      <c r="J19" t="s">
        <v>468</v>
      </c>
      <c r="K19" s="4" t="s">
        <v>752</v>
      </c>
    </row>
    <row r="20" spans="1:16" x14ac:dyDescent="0.25">
      <c r="A20" t="s">
        <v>408</v>
      </c>
      <c r="B20" t="s">
        <v>11</v>
      </c>
      <c r="C20" t="s">
        <v>461</v>
      </c>
      <c r="D20" t="s">
        <v>13</v>
      </c>
      <c r="F20" t="s">
        <v>469</v>
      </c>
      <c r="G20" t="s">
        <v>470</v>
      </c>
      <c r="H20" t="s">
        <v>16</v>
      </c>
      <c r="I20" t="s">
        <v>220</v>
      </c>
      <c r="J20" t="s">
        <v>471</v>
      </c>
      <c r="K20" s="4" t="s">
        <v>752</v>
      </c>
    </row>
    <row r="21" spans="1:16" x14ac:dyDescent="0.25">
      <c r="A21" t="s">
        <v>408</v>
      </c>
      <c r="B21" t="s">
        <v>11</v>
      </c>
      <c r="C21" t="s">
        <v>470</v>
      </c>
      <c r="D21" t="s">
        <v>16</v>
      </c>
      <c r="E21" t="s">
        <v>220</v>
      </c>
      <c r="F21" t="s">
        <v>472</v>
      </c>
      <c r="G21" t="s">
        <v>473</v>
      </c>
      <c r="H21" t="s">
        <v>16</v>
      </c>
      <c r="I21" t="s">
        <v>224</v>
      </c>
      <c r="J21" t="s">
        <v>474</v>
      </c>
      <c r="K21" s="4" t="s">
        <v>752</v>
      </c>
    </row>
    <row r="22" spans="1:16" x14ac:dyDescent="0.25">
      <c r="A22" t="s">
        <v>408</v>
      </c>
      <c r="B22" t="s">
        <v>11</v>
      </c>
      <c r="C22" t="s">
        <v>467</v>
      </c>
      <c r="D22" t="s">
        <v>16</v>
      </c>
      <c r="E22" t="s">
        <v>216</v>
      </c>
      <c r="F22" t="s">
        <v>475</v>
      </c>
      <c r="G22" t="s">
        <v>476</v>
      </c>
      <c r="H22" t="s">
        <v>13</v>
      </c>
      <c r="J22" t="s">
        <v>477</v>
      </c>
      <c r="K22" s="4" t="s">
        <v>752</v>
      </c>
      <c r="L22" t="s">
        <v>748</v>
      </c>
    </row>
    <row r="23" spans="1:16" x14ac:dyDescent="0.25">
      <c r="A23" t="s">
        <v>408</v>
      </c>
      <c r="B23" t="s">
        <v>11</v>
      </c>
      <c r="C23" t="s">
        <v>473</v>
      </c>
      <c r="D23" t="s">
        <v>16</v>
      </c>
      <c r="E23" t="s">
        <v>224</v>
      </c>
      <c r="F23" t="s">
        <v>478</v>
      </c>
      <c r="G23" t="s">
        <v>476</v>
      </c>
      <c r="H23" t="s">
        <v>13</v>
      </c>
      <c r="I23" t="s">
        <v>748</v>
      </c>
      <c r="J23" t="s">
        <v>479</v>
      </c>
      <c r="K23" s="4" t="s">
        <v>752</v>
      </c>
    </row>
    <row r="24" spans="1:16" x14ac:dyDescent="0.25">
      <c r="A24" t="s">
        <v>408</v>
      </c>
      <c r="B24" t="s">
        <v>11</v>
      </c>
      <c r="C24" t="s">
        <v>476</v>
      </c>
      <c r="D24" t="s">
        <v>13</v>
      </c>
      <c r="F24" t="s">
        <v>480</v>
      </c>
      <c r="G24" t="s">
        <v>481</v>
      </c>
      <c r="H24" t="s">
        <v>16</v>
      </c>
      <c r="I24" t="s">
        <v>233</v>
      </c>
      <c r="J24" t="s">
        <v>482</v>
      </c>
      <c r="K24" s="4" t="s">
        <v>752</v>
      </c>
    </row>
    <row r="25" spans="1:16" x14ac:dyDescent="0.25">
      <c r="A25" t="s">
        <v>408</v>
      </c>
      <c r="B25" t="s">
        <v>11</v>
      </c>
      <c r="C25" t="s">
        <v>481</v>
      </c>
      <c r="D25" t="s">
        <v>16</v>
      </c>
      <c r="E25" t="s">
        <v>233</v>
      </c>
      <c r="F25" t="s">
        <v>483</v>
      </c>
      <c r="G25" t="s">
        <v>484</v>
      </c>
      <c r="H25" t="s">
        <v>51</v>
      </c>
      <c r="I25" t="s">
        <v>237</v>
      </c>
      <c r="J25" t="s">
        <v>485</v>
      </c>
      <c r="K25" s="4" t="s">
        <v>752</v>
      </c>
    </row>
    <row r="26" spans="1:16" x14ac:dyDescent="0.25">
      <c r="H26" t="s">
        <v>748</v>
      </c>
      <c r="I26" t="s">
        <v>748</v>
      </c>
      <c r="P26" t="s">
        <v>748</v>
      </c>
    </row>
    <row r="27" spans="1:16" x14ac:dyDescent="0.25">
      <c r="A27" t="s">
        <v>408</v>
      </c>
      <c r="B27" t="s">
        <v>65</v>
      </c>
      <c r="C27" t="s">
        <v>486</v>
      </c>
      <c r="D27" t="s">
        <v>27</v>
      </c>
      <c r="E27" t="s">
        <v>240</v>
      </c>
      <c r="F27" t="s">
        <v>487</v>
      </c>
      <c r="G27" t="s">
        <v>488</v>
      </c>
      <c r="H27" t="s">
        <v>16</v>
      </c>
      <c r="I27" t="s">
        <v>489</v>
      </c>
      <c r="J27" t="s">
        <v>490</v>
      </c>
      <c r="K27" s="4" t="s">
        <v>749</v>
      </c>
    </row>
    <row r="28" spans="1:16" x14ac:dyDescent="0.25">
      <c r="A28" t="s">
        <v>408</v>
      </c>
      <c r="B28" t="s">
        <v>65</v>
      </c>
      <c r="C28" t="s">
        <v>488</v>
      </c>
      <c r="D28" t="s">
        <v>16</v>
      </c>
      <c r="E28" t="s">
        <v>489</v>
      </c>
      <c r="F28" t="s">
        <v>491</v>
      </c>
      <c r="G28" t="s">
        <v>492</v>
      </c>
      <c r="H28" t="s">
        <v>43</v>
      </c>
      <c r="J28" t="s">
        <v>493</v>
      </c>
      <c r="K28" s="4" t="s">
        <v>749</v>
      </c>
    </row>
    <row r="29" spans="1:16" x14ac:dyDescent="0.25">
      <c r="A29" t="s">
        <v>408</v>
      </c>
      <c r="B29" t="s">
        <v>65</v>
      </c>
      <c r="C29" t="s">
        <v>492</v>
      </c>
      <c r="D29" t="s">
        <v>43</v>
      </c>
      <c r="F29" t="s">
        <v>494</v>
      </c>
      <c r="G29" t="s">
        <v>495</v>
      </c>
      <c r="H29" t="s">
        <v>16</v>
      </c>
      <c r="I29" t="s">
        <v>496</v>
      </c>
      <c r="J29" t="s">
        <v>497</v>
      </c>
      <c r="K29" s="4" t="s">
        <v>749</v>
      </c>
    </row>
    <row r="30" spans="1:16" x14ac:dyDescent="0.25">
      <c r="A30" t="s">
        <v>408</v>
      </c>
      <c r="B30" t="s">
        <v>65</v>
      </c>
      <c r="C30" t="s">
        <v>492</v>
      </c>
      <c r="D30" t="s">
        <v>43</v>
      </c>
      <c r="F30" t="s">
        <v>498</v>
      </c>
      <c r="G30" t="s">
        <v>499</v>
      </c>
      <c r="H30" t="s">
        <v>16</v>
      </c>
      <c r="I30" t="s">
        <v>500</v>
      </c>
      <c r="J30" t="s">
        <v>501</v>
      </c>
      <c r="K30" s="4" t="s">
        <v>749</v>
      </c>
    </row>
    <row r="31" spans="1:16" x14ac:dyDescent="0.25">
      <c r="A31" t="s">
        <v>408</v>
      </c>
      <c r="B31" t="s">
        <v>65</v>
      </c>
      <c r="C31" t="s">
        <v>499</v>
      </c>
      <c r="D31" t="s">
        <v>16</v>
      </c>
      <c r="E31" t="s">
        <v>500</v>
      </c>
      <c r="F31" t="s">
        <v>502</v>
      </c>
      <c r="G31" t="s">
        <v>503</v>
      </c>
      <c r="H31" t="s">
        <v>422</v>
      </c>
      <c r="J31" t="s">
        <v>504</v>
      </c>
      <c r="K31" s="4" t="s">
        <v>749</v>
      </c>
    </row>
    <row r="32" spans="1:16" x14ac:dyDescent="0.25">
      <c r="A32" t="s">
        <v>408</v>
      </c>
      <c r="B32" t="s">
        <v>65</v>
      </c>
      <c r="C32" t="s">
        <v>503</v>
      </c>
      <c r="D32" t="s">
        <v>422</v>
      </c>
      <c r="F32" t="s">
        <v>505</v>
      </c>
      <c r="G32" t="s">
        <v>506</v>
      </c>
      <c r="H32" t="s">
        <v>16</v>
      </c>
      <c r="I32" t="s">
        <v>507</v>
      </c>
      <c r="J32" t="s">
        <v>508</v>
      </c>
      <c r="K32" s="4" t="s">
        <v>749</v>
      </c>
    </row>
    <row r="33" spans="1:11" x14ac:dyDescent="0.25">
      <c r="A33" t="s">
        <v>408</v>
      </c>
      <c r="B33" t="s">
        <v>65</v>
      </c>
      <c r="C33" t="s">
        <v>503</v>
      </c>
      <c r="D33" t="s">
        <v>422</v>
      </c>
      <c r="F33" t="s">
        <v>509</v>
      </c>
      <c r="G33" t="s">
        <v>510</v>
      </c>
      <c r="H33" t="s">
        <v>16</v>
      </c>
      <c r="I33" t="s">
        <v>511</v>
      </c>
      <c r="J33" t="s">
        <v>512</v>
      </c>
      <c r="K33" s="4" t="s">
        <v>749</v>
      </c>
    </row>
    <row r="34" spans="1:11" x14ac:dyDescent="0.25">
      <c r="A34" t="s">
        <v>408</v>
      </c>
      <c r="B34" t="s">
        <v>65</v>
      </c>
      <c r="C34" t="s">
        <v>510</v>
      </c>
      <c r="D34" t="s">
        <v>16</v>
      </c>
      <c r="E34" t="s">
        <v>511</v>
      </c>
      <c r="F34" t="s">
        <v>513</v>
      </c>
      <c r="G34" t="s">
        <v>514</v>
      </c>
      <c r="H34" t="s">
        <v>422</v>
      </c>
      <c r="J34" t="s">
        <v>515</v>
      </c>
      <c r="K34" s="4" t="s">
        <v>750</v>
      </c>
    </row>
    <row r="35" spans="1:11" x14ac:dyDescent="0.25">
      <c r="A35" t="s">
        <v>408</v>
      </c>
      <c r="B35" t="s">
        <v>65</v>
      </c>
      <c r="C35" t="s">
        <v>506</v>
      </c>
      <c r="D35" t="s">
        <v>16</v>
      </c>
      <c r="E35" t="s">
        <v>507</v>
      </c>
      <c r="F35" t="s">
        <v>516</v>
      </c>
      <c r="G35" t="s">
        <v>514</v>
      </c>
      <c r="H35" t="s">
        <v>422</v>
      </c>
      <c r="J35" t="s">
        <v>517</v>
      </c>
      <c r="K35" s="4" t="s">
        <v>750</v>
      </c>
    </row>
    <row r="36" spans="1:11" x14ac:dyDescent="0.25">
      <c r="A36" t="s">
        <v>408</v>
      </c>
      <c r="B36" t="s">
        <v>65</v>
      </c>
      <c r="C36" t="s">
        <v>514</v>
      </c>
      <c r="D36" t="s">
        <v>422</v>
      </c>
      <c r="F36" t="s">
        <v>518</v>
      </c>
      <c r="G36" t="s">
        <v>519</v>
      </c>
      <c r="H36" t="s">
        <v>16</v>
      </c>
      <c r="I36" t="s">
        <v>520</v>
      </c>
      <c r="J36" t="s">
        <v>521</v>
      </c>
      <c r="K36" s="4" t="s">
        <v>750</v>
      </c>
    </row>
    <row r="37" spans="1:11" x14ac:dyDescent="0.25">
      <c r="A37" t="s">
        <v>408</v>
      </c>
      <c r="B37" t="s">
        <v>65</v>
      </c>
      <c r="C37" t="s">
        <v>519</v>
      </c>
      <c r="D37" t="s">
        <v>16</v>
      </c>
      <c r="E37" t="s">
        <v>520</v>
      </c>
      <c r="F37" t="s">
        <v>522</v>
      </c>
      <c r="G37" t="s">
        <v>523</v>
      </c>
      <c r="H37" t="s">
        <v>16</v>
      </c>
      <c r="I37" t="s">
        <v>524</v>
      </c>
      <c r="J37" t="s">
        <v>525</v>
      </c>
      <c r="K37" s="4" t="s">
        <v>750</v>
      </c>
    </row>
    <row r="38" spans="1:11" x14ac:dyDescent="0.25">
      <c r="A38" t="s">
        <v>408</v>
      </c>
      <c r="B38" t="s">
        <v>65</v>
      </c>
      <c r="C38" t="s">
        <v>523</v>
      </c>
      <c r="D38" t="s">
        <v>16</v>
      </c>
      <c r="E38" t="s">
        <v>524</v>
      </c>
      <c r="F38" t="s">
        <v>526</v>
      </c>
      <c r="G38" t="s">
        <v>527</v>
      </c>
      <c r="H38" t="s">
        <v>43</v>
      </c>
      <c r="J38" t="s">
        <v>528</v>
      </c>
      <c r="K38" s="4" t="s">
        <v>749</v>
      </c>
    </row>
    <row r="39" spans="1:11" x14ac:dyDescent="0.25">
      <c r="A39" t="s">
        <v>408</v>
      </c>
      <c r="B39" t="s">
        <v>65</v>
      </c>
      <c r="C39" t="s">
        <v>495</v>
      </c>
      <c r="D39" t="s">
        <v>16</v>
      </c>
      <c r="E39" t="s">
        <v>496</v>
      </c>
      <c r="F39" t="s">
        <v>529</v>
      </c>
      <c r="G39" t="s">
        <v>527</v>
      </c>
      <c r="H39" t="s">
        <v>43</v>
      </c>
      <c r="J39" t="s">
        <v>530</v>
      </c>
      <c r="K39" s="4" t="s">
        <v>749</v>
      </c>
    </row>
    <row r="40" spans="1:11" x14ac:dyDescent="0.25">
      <c r="A40" t="s">
        <v>408</v>
      </c>
      <c r="B40" t="s">
        <v>65</v>
      </c>
      <c r="C40" t="s">
        <v>527</v>
      </c>
      <c r="D40" t="s">
        <v>43</v>
      </c>
      <c r="F40" t="s">
        <v>531</v>
      </c>
      <c r="G40" t="s">
        <v>532</v>
      </c>
      <c r="H40" t="s">
        <v>16</v>
      </c>
      <c r="I40" t="s">
        <v>261</v>
      </c>
      <c r="J40" t="s">
        <v>533</v>
      </c>
      <c r="K40" s="4" t="s">
        <v>749</v>
      </c>
    </row>
    <row r="41" spans="1:11" x14ac:dyDescent="0.25">
      <c r="A41" t="s">
        <v>408</v>
      </c>
      <c r="B41" t="s">
        <v>65</v>
      </c>
      <c r="C41" t="s">
        <v>532</v>
      </c>
      <c r="D41" t="s">
        <v>16</v>
      </c>
      <c r="E41" t="s">
        <v>261</v>
      </c>
      <c r="F41" t="s">
        <v>534</v>
      </c>
      <c r="G41" t="s">
        <v>535</v>
      </c>
      <c r="H41" t="s">
        <v>13</v>
      </c>
      <c r="J41" t="s">
        <v>536</v>
      </c>
      <c r="K41" s="4" t="s">
        <v>749</v>
      </c>
    </row>
    <row r="42" spans="1:11" x14ac:dyDescent="0.25">
      <c r="A42" t="s">
        <v>408</v>
      </c>
      <c r="B42" t="s">
        <v>65</v>
      </c>
      <c r="C42" t="s">
        <v>535</v>
      </c>
      <c r="D42" t="s">
        <v>13</v>
      </c>
      <c r="F42" t="s">
        <v>537</v>
      </c>
      <c r="G42" t="s">
        <v>538</v>
      </c>
      <c r="H42" t="s">
        <v>16</v>
      </c>
      <c r="I42" t="s">
        <v>539</v>
      </c>
      <c r="J42" t="s">
        <v>540</v>
      </c>
      <c r="K42" s="4" t="s">
        <v>749</v>
      </c>
    </row>
    <row r="43" spans="1:11" x14ac:dyDescent="0.25">
      <c r="A43" t="s">
        <v>408</v>
      </c>
      <c r="B43" t="s">
        <v>65</v>
      </c>
      <c r="C43" t="s">
        <v>535</v>
      </c>
      <c r="D43" t="s">
        <v>13</v>
      </c>
      <c r="F43" t="s">
        <v>541</v>
      </c>
      <c r="G43" t="s">
        <v>542</v>
      </c>
      <c r="H43" t="s">
        <v>16</v>
      </c>
      <c r="I43" t="s">
        <v>272</v>
      </c>
      <c r="J43" t="s">
        <v>543</v>
      </c>
      <c r="K43" s="4" t="s">
        <v>749</v>
      </c>
    </row>
    <row r="44" spans="1:11" x14ac:dyDescent="0.25">
      <c r="A44" t="s">
        <v>408</v>
      </c>
      <c r="B44" t="s">
        <v>65</v>
      </c>
      <c r="C44" t="s">
        <v>542</v>
      </c>
      <c r="D44" t="s">
        <v>16</v>
      </c>
      <c r="E44" t="s">
        <v>272</v>
      </c>
      <c r="F44" t="s">
        <v>544</v>
      </c>
      <c r="G44" t="s">
        <v>545</v>
      </c>
      <c r="H44" t="s">
        <v>16</v>
      </c>
      <c r="I44" t="s">
        <v>546</v>
      </c>
      <c r="J44" t="s">
        <v>547</v>
      </c>
      <c r="K44" s="4" t="s">
        <v>749</v>
      </c>
    </row>
    <row r="45" spans="1:11" x14ac:dyDescent="0.25">
      <c r="A45" t="s">
        <v>408</v>
      </c>
      <c r="B45" t="s">
        <v>65</v>
      </c>
      <c r="C45" t="s">
        <v>538</v>
      </c>
      <c r="D45" t="s">
        <v>16</v>
      </c>
      <c r="E45" t="s">
        <v>539</v>
      </c>
      <c r="F45" t="s">
        <v>548</v>
      </c>
      <c r="G45" t="s">
        <v>549</v>
      </c>
      <c r="H45" t="s">
        <v>16</v>
      </c>
      <c r="I45" t="s">
        <v>550</v>
      </c>
      <c r="J45" t="s">
        <v>551</v>
      </c>
      <c r="K45" s="4" t="s">
        <v>749</v>
      </c>
    </row>
    <row r="46" spans="1:11" x14ac:dyDescent="0.25">
      <c r="A46" t="s">
        <v>408</v>
      </c>
      <c r="B46" t="s">
        <v>65</v>
      </c>
      <c r="C46" t="s">
        <v>549</v>
      </c>
      <c r="D46" t="s">
        <v>16</v>
      </c>
      <c r="E46" t="s">
        <v>550</v>
      </c>
      <c r="F46" t="s">
        <v>552</v>
      </c>
      <c r="G46" t="s">
        <v>553</v>
      </c>
      <c r="H46" t="s">
        <v>13</v>
      </c>
      <c r="J46" t="s">
        <v>554</v>
      </c>
      <c r="K46" s="4" t="s">
        <v>749</v>
      </c>
    </row>
    <row r="47" spans="1:11" x14ac:dyDescent="0.25">
      <c r="A47" t="s">
        <v>408</v>
      </c>
      <c r="B47" t="s">
        <v>65</v>
      </c>
      <c r="C47" t="s">
        <v>545</v>
      </c>
      <c r="D47" t="s">
        <v>16</v>
      </c>
      <c r="E47" t="s">
        <v>546</v>
      </c>
      <c r="F47" t="s">
        <v>555</v>
      </c>
      <c r="G47" t="s">
        <v>553</v>
      </c>
      <c r="H47" t="s">
        <v>13</v>
      </c>
      <c r="J47" t="s">
        <v>556</v>
      </c>
      <c r="K47" s="4" t="s">
        <v>749</v>
      </c>
    </row>
    <row r="48" spans="1:11" x14ac:dyDescent="0.25">
      <c r="A48" t="s">
        <v>408</v>
      </c>
      <c r="B48" t="s">
        <v>65</v>
      </c>
      <c r="C48" t="s">
        <v>553</v>
      </c>
      <c r="D48" t="s">
        <v>13</v>
      </c>
      <c r="F48" t="s">
        <v>557</v>
      </c>
      <c r="G48" t="s">
        <v>558</v>
      </c>
      <c r="H48" t="s">
        <v>16</v>
      </c>
      <c r="I48" t="s">
        <v>289</v>
      </c>
      <c r="J48" t="s">
        <v>559</v>
      </c>
      <c r="K48" s="4" t="s">
        <v>749</v>
      </c>
    </row>
    <row r="49" spans="1:11" x14ac:dyDescent="0.25">
      <c r="A49" t="s">
        <v>408</v>
      </c>
      <c r="B49" t="s">
        <v>65</v>
      </c>
      <c r="C49" t="s">
        <v>558</v>
      </c>
      <c r="D49" t="s">
        <v>16</v>
      </c>
      <c r="E49" t="s">
        <v>289</v>
      </c>
      <c r="F49" t="s">
        <v>560</v>
      </c>
      <c r="G49" t="s">
        <v>561</v>
      </c>
      <c r="H49" t="s">
        <v>51</v>
      </c>
      <c r="I49" t="s">
        <v>293</v>
      </c>
      <c r="J49" t="s">
        <v>562</v>
      </c>
      <c r="K49" s="4" t="s">
        <v>749</v>
      </c>
    </row>
    <row r="50" spans="1:11" x14ac:dyDescent="0.25">
      <c r="A50" t="s">
        <v>408</v>
      </c>
      <c r="B50" t="s">
        <v>11</v>
      </c>
      <c r="C50" t="s">
        <v>425</v>
      </c>
      <c r="D50" t="s">
        <v>16</v>
      </c>
      <c r="E50" t="s">
        <v>426</v>
      </c>
      <c r="F50" t="s">
        <v>428</v>
      </c>
      <c r="G50" t="s">
        <v>429</v>
      </c>
      <c r="H50" t="s">
        <v>16</v>
      </c>
      <c r="I50" t="s">
        <v>430</v>
      </c>
      <c r="J50" t="s">
        <v>431</v>
      </c>
      <c r="K50" s="4" t="s">
        <v>751</v>
      </c>
    </row>
    <row r="51" spans="1:11" x14ac:dyDescent="0.25">
      <c r="A51" t="s">
        <v>408</v>
      </c>
      <c r="B51" t="s">
        <v>11</v>
      </c>
      <c r="C51" t="s">
        <v>433</v>
      </c>
      <c r="D51" t="s">
        <v>16</v>
      </c>
      <c r="E51" t="s">
        <v>434</v>
      </c>
      <c r="F51" t="s">
        <v>436</v>
      </c>
      <c r="G51" t="s">
        <v>437</v>
      </c>
      <c r="H51" t="s">
        <v>16</v>
      </c>
      <c r="I51" t="s">
        <v>438</v>
      </c>
      <c r="J51" t="s">
        <v>439</v>
      </c>
      <c r="K51" s="4" t="s">
        <v>751</v>
      </c>
    </row>
    <row r="52" spans="1:11" x14ac:dyDescent="0.25">
      <c r="A52" t="s">
        <v>408</v>
      </c>
      <c r="B52" t="s">
        <v>11</v>
      </c>
      <c r="C52" t="s">
        <v>429</v>
      </c>
      <c r="D52" t="s">
        <v>16</v>
      </c>
      <c r="E52" t="s">
        <v>430</v>
      </c>
      <c r="F52" t="s">
        <v>440</v>
      </c>
      <c r="G52" t="s">
        <v>441</v>
      </c>
      <c r="H52" t="s">
        <v>422</v>
      </c>
      <c r="J52" t="s">
        <v>442</v>
      </c>
      <c r="K52" s="4" t="s">
        <v>751</v>
      </c>
    </row>
    <row r="53" spans="1:11" x14ac:dyDescent="0.25">
      <c r="A53" t="s">
        <v>408</v>
      </c>
      <c r="B53" t="s">
        <v>11</v>
      </c>
      <c r="C53" t="s">
        <v>437</v>
      </c>
      <c r="D53" t="s">
        <v>16</v>
      </c>
      <c r="E53" t="s">
        <v>438</v>
      </c>
      <c r="F53" t="s">
        <v>443</v>
      </c>
      <c r="G53" t="s">
        <v>441</v>
      </c>
      <c r="H53" t="s">
        <v>422</v>
      </c>
      <c r="J53" t="s">
        <v>444</v>
      </c>
      <c r="K53" s="4" t="s">
        <v>751</v>
      </c>
    </row>
    <row r="54" spans="1:11" x14ac:dyDescent="0.25">
      <c r="A54" t="s">
        <v>408</v>
      </c>
      <c r="B54" t="s">
        <v>11</v>
      </c>
      <c r="C54" t="s">
        <v>441</v>
      </c>
      <c r="D54" t="s">
        <v>422</v>
      </c>
      <c r="F54" t="s">
        <v>445</v>
      </c>
      <c r="G54" t="s">
        <v>446</v>
      </c>
      <c r="H54" t="s">
        <v>16</v>
      </c>
      <c r="I54" t="s">
        <v>447</v>
      </c>
      <c r="J54" t="s">
        <v>448</v>
      </c>
      <c r="K54" s="4" t="s">
        <v>751</v>
      </c>
    </row>
    <row r="55" spans="1:11" x14ac:dyDescent="0.25">
      <c r="I55" t="s">
        <v>748</v>
      </c>
    </row>
    <row r="56" spans="1:11" x14ac:dyDescent="0.25">
      <c r="A56" t="s">
        <v>408</v>
      </c>
      <c r="B56" t="s">
        <v>115</v>
      </c>
      <c r="C56" t="s">
        <v>563</v>
      </c>
      <c r="D56" t="s">
        <v>27</v>
      </c>
      <c r="F56" t="s">
        <v>564</v>
      </c>
      <c r="G56" t="s">
        <v>565</v>
      </c>
      <c r="H56" t="s">
        <v>16</v>
      </c>
      <c r="I56" t="s">
        <v>566</v>
      </c>
      <c r="J56" t="s">
        <v>567</v>
      </c>
      <c r="K56" s="4" t="s">
        <v>750</v>
      </c>
    </row>
    <row r="57" spans="1:11" x14ac:dyDescent="0.25">
      <c r="A57" t="s">
        <v>408</v>
      </c>
      <c r="B57" t="s">
        <v>115</v>
      </c>
      <c r="C57" t="s">
        <v>565</v>
      </c>
      <c r="D57" t="s">
        <v>16</v>
      </c>
      <c r="E57" t="s">
        <v>566</v>
      </c>
      <c r="F57" t="s">
        <v>568</v>
      </c>
      <c r="G57" t="s">
        <v>569</v>
      </c>
      <c r="H57" t="s">
        <v>43</v>
      </c>
      <c r="I57" t="s">
        <v>302</v>
      </c>
      <c r="J57" t="s">
        <v>570</v>
      </c>
      <c r="K57" s="4" t="s">
        <v>750</v>
      </c>
    </row>
    <row r="58" spans="1:11" x14ac:dyDescent="0.25">
      <c r="A58" t="s">
        <v>408</v>
      </c>
      <c r="B58" t="s">
        <v>115</v>
      </c>
      <c r="C58" t="s">
        <v>569</v>
      </c>
      <c r="D58" t="s">
        <v>43</v>
      </c>
      <c r="E58" t="s">
        <v>302</v>
      </c>
      <c r="F58" t="s">
        <v>571</v>
      </c>
      <c r="G58" t="s">
        <v>572</v>
      </c>
      <c r="H58" t="s">
        <v>16</v>
      </c>
      <c r="I58" t="s">
        <v>573</v>
      </c>
      <c r="J58" t="s">
        <v>574</v>
      </c>
      <c r="K58" s="4" t="s">
        <v>749</v>
      </c>
    </row>
    <row r="59" spans="1:11" x14ac:dyDescent="0.25">
      <c r="A59" t="s">
        <v>408</v>
      </c>
      <c r="B59" t="s">
        <v>115</v>
      </c>
      <c r="C59" t="s">
        <v>569</v>
      </c>
      <c r="D59" t="s">
        <v>43</v>
      </c>
      <c r="E59" t="s">
        <v>302</v>
      </c>
      <c r="F59" t="s">
        <v>575</v>
      </c>
      <c r="G59" t="s">
        <v>576</v>
      </c>
      <c r="H59" t="s">
        <v>16</v>
      </c>
      <c r="I59" t="s">
        <v>577</v>
      </c>
      <c r="J59" t="s">
        <v>578</v>
      </c>
      <c r="K59" s="4" t="s">
        <v>749</v>
      </c>
    </row>
    <row r="60" spans="1:11" x14ac:dyDescent="0.25">
      <c r="A60" t="s">
        <v>408</v>
      </c>
      <c r="B60" t="s">
        <v>115</v>
      </c>
      <c r="C60" t="s">
        <v>576</v>
      </c>
      <c r="D60" t="s">
        <v>16</v>
      </c>
      <c r="E60" t="s">
        <v>577</v>
      </c>
      <c r="F60" t="s">
        <v>579</v>
      </c>
      <c r="G60" t="s">
        <v>580</v>
      </c>
      <c r="H60" t="s">
        <v>43</v>
      </c>
      <c r="J60" t="s">
        <v>581</v>
      </c>
      <c r="K60" s="4" t="s">
        <v>750</v>
      </c>
    </row>
    <row r="61" spans="1:11" x14ac:dyDescent="0.25">
      <c r="A61" t="s">
        <v>408</v>
      </c>
      <c r="B61" t="s">
        <v>115</v>
      </c>
      <c r="C61" t="s">
        <v>580</v>
      </c>
      <c r="D61" t="s">
        <v>43</v>
      </c>
      <c r="F61" t="s">
        <v>582</v>
      </c>
      <c r="G61" t="s">
        <v>583</v>
      </c>
      <c r="H61" t="s">
        <v>16</v>
      </c>
      <c r="I61" t="s">
        <v>584</v>
      </c>
      <c r="J61" t="s">
        <v>585</v>
      </c>
      <c r="K61" s="4" t="s">
        <v>750</v>
      </c>
    </row>
    <row r="62" spans="1:11" x14ac:dyDescent="0.25">
      <c r="A62" t="s">
        <v>408</v>
      </c>
      <c r="B62" t="s">
        <v>115</v>
      </c>
      <c r="C62" t="s">
        <v>580</v>
      </c>
      <c r="D62" t="s">
        <v>43</v>
      </c>
      <c r="F62" t="s">
        <v>586</v>
      </c>
      <c r="G62" t="s">
        <v>587</v>
      </c>
      <c r="H62" t="s">
        <v>16</v>
      </c>
      <c r="I62" t="s">
        <v>588</v>
      </c>
      <c r="J62" t="s">
        <v>589</v>
      </c>
      <c r="K62" s="4" t="s">
        <v>750</v>
      </c>
    </row>
    <row r="63" spans="1:11" x14ac:dyDescent="0.25">
      <c r="A63" t="s">
        <v>408</v>
      </c>
      <c r="B63" t="s">
        <v>115</v>
      </c>
      <c r="C63" t="s">
        <v>587</v>
      </c>
      <c r="D63" t="s">
        <v>16</v>
      </c>
      <c r="E63" t="s">
        <v>588</v>
      </c>
      <c r="F63" t="s">
        <v>590</v>
      </c>
      <c r="G63" t="s">
        <v>591</v>
      </c>
      <c r="H63" t="s">
        <v>43</v>
      </c>
      <c r="J63" t="s">
        <v>592</v>
      </c>
      <c r="K63" s="4" t="s">
        <v>750</v>
      </c>
    </row>
    <row r="64" spans="1:11" x14ac:dyDescent="0.25">
      <c r="A64" t="s">
        <v>408</v>
      </c>
      <c r="B64" t="s">
        <v>115</v>
      </c>
      <c r="C64" t="s">
        <v>583</v>
      </c>
      <c r="D64" t="s">
        <v>16</v>
      </c>
      <c r="E64" t="s">
        <v>584</v>
      </c>
      <c r="F64" t="s">
        <v>593</v>
      </c>
      <c r="G64" t="s">
        <v>591</v>
      </c>
      <c r="H64" t="s">
        <v>43</v>
      </c>
      <c r="J64" t="s">
        <v>594</v>
      </c>
      <c r="K64" s="4" t="s">
        <v>750</v>
      </c>
    </row>
    <row r="65" spans="1:12" x14ac:dyDescent="0.25">
      <c r="A65" t="s">
        <v>408</v>
      </c>
      <c r="B65" t="s">
        <v>115</v>
      </c>
      <c r="C65" t="s">
        <v>591</v>
      </c>
      <c r="D65" t="s">
        <v>43</v>
      </c>
      <c r="F65" t="s">
        <v>595</v>
      </c>
      <c r="G65" t="s">
        <v>596</v>
      </c>
      <c r="H65" t="s">
        <v>16</v>
      </c>
      <c r="I65" t="s">
        <v>597</v>
      </c>
      <c r="J65" t="s">
        <v>598</v>
      </c>
      <c r="K65" s="4" t="s">
        <v>750</v>
      </c>
    </row>
    <row r="66" spans="1:12" x14ac:dyDescent="0.25">
      <c r="A66" t="s">
        <v>408</v>
      </c>
      <c r="B66" t="s">
        <v>115</v>
      </c>
      <c r="C66" t="s">
        <v>596</v>
      </c>
      <c r="D66" t="s">
        <v>16</v>
      </c>
      <c r="E66" t="s">
        <v>597</v>
      </c>
      <c r="F66" t="s">
        <v>599</v>
      </c>
      <c r="G66" t="s">
        <v>600</v>
      </c>
      <c r="H66" t="s">
        <v>16</v>
      </c>
      <c r="I66" t="s">
        <v>447</v>
      </c>
      <c r="J66" t="s">
        <v>601</v>
      </c>
      <c r="K66" s="4" t="s">
        <v>750</v>
      </c>
    </row>
    <row r="67" spans="1:12" x14ac:dyDescent="0.25">
      <c r="A67" t="s">
        <v>408</v>
      </c>
      <c r="B67" t="s">
        <v>115</v>
      </c>
      <c r="C67" t="s">
        <v>600</v>
      </c>
      <c r="D67" t="s">
        <v>16</v>
      </c>
      <c r="E67" t="s">
        <v>447</v>
      </c>
      <c r="F67" t="s">
        <v>602</v>
      </c>
      <c r="G67" t="s">
        <v>603</v>
      </c>
      <c r="H67" t="s">
        <v>43</v>
      </c>
      <c r="J67" t="s">
        <v>604</v>
      </c>
      <c r="K67" s="4" t="s">
        <v>749</v>
      </c>
    </row>
    <row r="68" spans="1:12" x14ac:dyDescent="0.25">
      <c r="A68" t="s">
        <v>408</v>
      </c>
      <c r="B68" t="s">
        <v>115</v>
      </c>
      <c r="C68" t="s">
        <v>572</v>
      </c>
      <c r="D68" t="s">
        <v>16</v>
      </c>
      <c r="E68" t="s">
        <v>573</v>
      </c>
      <c r="F68" t="s">
        <v>605</v>
      </c>
      <c r="G68" t="s">
        <v>603</v>
      </c>
      <c r="H68" t="s">
        <v>43</v>
      </c>
      <c r="J68" t="s">
        <v>606</v>
      </c>
      <c r="K68" s="4" t="s">
        <v>749</v>
      </c>
    </row>
    <row r="69" spans="1:12" x14ac:dyDescent="0.25">
      <c r="A69" t="s">
        <v>408</v>
      </c>
      <c r="B69" t="s">
        <v>115</v>
      </c>
      <c r="C69" t="s">
        <v>607</v>
      </c>
      <c r="D69" t="s">
        <v>13</v>
      </c>
      <c r="F69" t="s">
        <v>608</v>
      </c>
      <c r="G69" t="s">
        <v>609</v>
      </c>
      <c r="H69" t="s">
        <v>16</v>
      </c>
      <c r="I69" t="s">
        <v>205</v>
      </c>
      <c r="J69" t="s">
        <v>610</v>
      </c>
      <c r="K69" s="4" t="s">
        <v>750</v>
      </c>
    </row>
    <row r="70" spans="1:12" x14ac:dyDescent="0.25">
      <c r="A70" t="s">
        <v>408</v>
      </c>
      <c r="B70" t="s">
        <v>115</v>
      </c>
      <c r="C70" t="s">
        <v>603</v>
      </c>
      <c r="D70" t="s">
        <v>43</v>
      </c>
      <c r="F70" t="s">
        <v>611</v>
      </c>
      <c r="G70" t="s">
        <v>607</v>
      </c>
      <c r="H70" t="s">
        <v>13</v>
      </c>
      <c r="J70" t="s">
        <v>612</v>
      </c>
      <c r="K70" s="4" t="s">
        <v>750</v>
      </c>
    </row>
    <row r="71" spans="1:12" x14ac:dyDescent="0.25">
      <c r="A71" t="s">
        <v>408</v>
      </c>
      <c r="B71" t="s">
        <v>115</v>
      </c>
      <c r="C71" t="s">
        <v>607</v>
      </c>
      <c r="D71" t="s">
        <v>13</v>
      </c>
      <c r="F71" t="s">
        <v>613</v>
      </c>
      <c r="G71" t="s">
        <v>614</v>
      </c>
      <c r="H71" t="s">
        <v>16</v>
      </c>
      <c r="I71" t="s">
        <v>615</v>
      </c>
      <c r="J71" t="s">
        <v>616</v>
      </c>
      <c r="K71" s="4" t="s">
        <v>749</v>
      </c>
    </row>
    <row r="72" spans="1:12" x14ac:dyDescent="0.25">
      <c r="A72" t="s">
        <v>408</v>
      </c>
      <c r="B72" t="s">
        <v>115</v>
      </c>
      <c r="C72" t="s">
        <v>609</v>
      </c>
      <c r="D72" t="s">
        <v>16</v>
      </c>
      <c r="E72" t="s">
        <v>205</v>
      </c>
      <c r="F72" t="s">
        <v>617</v>
      </c>
      <c r="G72" t="s">
        <v>618</v>
      </c>
      <c r="H72" t="s">
        <v>13</v>
      </c>
      <c r="J72" t="s">
        <v>619</v>
      </c>
      <c r="K72" s="4" t="s">
        <v>749</v>
      </c>
    </row>
    <row r="73" spans="1:12" x14ac:dyDescent="0.25">
      <c r="A73" t="s">
        <v>408</v>
      </c>
      <c r="B73" t="s">
        <v>115</v>
      </c>
      <c r="C73" t="s">
        <v>614</v>
      </c>
      <c r="D73" t="s">
        <v>16</v>
      </c>
      <c r="E73" t="s">
        <v>615</v>
      </c>
      <c r="F73" t="s">
        <v>620</v>
      </c>
      <c r="G73" t="s">
        <v>618</v>
      </c>
      <c r="H73" t="s">
        <v>13</v>
      </c>
      <c r="J73" t="s">
        <v>621</v>
      </c>
      <c r="K73" s="4" t="s">
        <v>750</v>
      </c>
    </row>
    <row r="74" spans="1:12" x14ac:dyDescent="0.25">
      <c r="A74" t="s">
        <v>408</v>
      </c>
      <c r="B74" t="s">
        <v>115</v>
      </c>
      <c r="C74" t="s">
        <v>618</v>
      </c>
      <c r="D74" t="s">
        <v>13</v>
      </c>
      <c r="F74" t="s">
        <v>622</v>
      </c>
      <c r="G74" t="s">
        <v>623</v>
      </c>
      <c r="H74" t="s">
        <v>43</v>
      </c>
      <c r="I74" t="s">
        <v>624</v>
      </c>
      <c r="J74" t="s">
        <v>625</v>
      </c>
      <c r="K74" s="4" t="s">
        <v>750</v>
      </c>
    </row>
    <row r="75" spans="1:12" x14ac:dyDescent="0.25">
      <c r="A75" t="s">
        <v>408</v>
      </c>
      <c r="B75" t="s">
        <v>115</v>
      </c>
      <c r="C75" t="s">
        <v>623</v>
      </c>
      <c r="D75" t="s">
        <v>43</v>
      </c>
      <c r="E75" t="s">
        <v>624</v>
      </c>
      <c r="F75" t="s">
        <v>626</v>
      </c>
      <c r="G75" t="s">
        <v>627</v>
      </c>
      <c r="H75" t="s">
        <v>16</v>
      </c>
      <c r="I75" t="s">
        <v>224</v>
      </c>
      <c r="J75" t="s">
        <v>628</v>
      </c>
      <c r="K75" s="4" t="s">
        <v>750</v>
      </c>
    </row>
    <row r="76" spans="1:12" x14ac:dyDescent="0.25">
      <c r="A76" t="s">
        <v>408</v>
      </c>
      <c r="B76" t="s">
        <v>115</v>
      </c>
      <c r="C76" t="s">
        <v>623</v>
      </c>
      <c r="D76" t="s">
        <v>43</v>
      </c>
      <c r="E76" t="s">
        <v>624</v>
      </c>
      <c r="F76" t="s">
        <v>629</v>
      </c>
      <c r="G76" t="s">
        <v>630</v>
      </c>
      <c r="H76" t="s">
        <v>16</v>
      </c>
      <c r="I76" t="s">
        <v>631</v>
      </c>
      <c r="J76" t="s">
        <v>632</v>
      </c>
      <c r="K76" s="4" t="s">
        <v>750</v>
      </c>
    </row>
    <row r="77" spans="1:12" x14ac:dyDescent="0.25">
      <c r="A77" t="s">
        <v>408</v>
      </c>
      <c r="B77" t="s">
        <v>115</v>
      </c>
      <c r="C77" t="s">
        <v>630</v>
      </c>
      <c r="D77" t="s">
        <v>16</v>
      </c>
      <c r="E77" t="s">
        <v>631</v>
      </c>
      <c r="F77" t="s">
        <v>633</v>
      </c>
      <c r="G77" t="s">
        <v>634</v>
      </c>
      <c r="H77" t="s">
        <v>43</v>
      </c>
      <c r="I77" t="s">
        <v>624</v>
      </c>
      <c r="J77" t="s">
        <v>635</v>
      </c>
      <c r="K77" s="4" t="s">
        <v>750</v>
      </c>
    </row>
    <row r="78" spans="1:12" x14ac:dyDescent="0.25">
      <c r="A78" t="s">
        <v>408</v>
      </c>
      <c r="B78" t="s">
        <v>115</v>
      </c>
      <c r="C78" t="s">
        <v>634</v>
      </c>
      <c r="D78" t="s">
        <v>43</v>
      </c>
      <c r="E78" t="s">
        <v>624</v>
      </c>
      <c r="F78" t="s">
        <v>636</v>
      </c>
      <c r="G78" t="s">
        <v>637</v>
      </c>
      <c r="H78" t="s">
        <v>16</v>
      </c>
      <c r="I78" t="s">
        <v>638</v>
      </c>
      <c r="J78" t="s">
        <v>639</v>
      </c>
      <c r="K78" s="4" t="s">
        <v>750</v>
      </c>
      <c r="L78" t="s">
        <v>748</v>
      </c>
    </row>
    <row r="79" spans="1:12" x14ac:dyDescent="0.25">
      <c r="A79" t="s">
        <v>408</v>
      </c>
      <c r="B79" t="s">
        <v>115</v>
      </c>
      <c r="C79" t="s">
        <v>637</v>
      </c>
      <c r="D79" t="s">
        <v>16</v>
      </c>
      <c r="E79" t="s">
        <v>638</v>
      </c>
      <c r="F79" t="s">
        <v>640</v>
      </c>
      <c r="G79" t="s">
        <v>641</v>
      </c>
      <c r="H79" t="s">
        <v>51</v>
      </c>
      <c r="J79" t="s">
        <v>642</v>
      </c>
      <c r="K79" s="4" t="s">
        <v>750</v>
      </c>
    </row>
    <row r="80" spans="1:12" x14ac:dyDescent="0.25">
      <c r="A80" t="s">
        <v>408</v>
      </c>
      <c r="B80" t="s">
        <v>115</v>
      </c>
      <c r="C80" t="s">
        <v>627</v>
      </c>
      <c r="D80" t="s">
        <v>16</v>
      </c>
      <c r="E80" t="s">
        <v>224</v>
      </c>
      <c r="F80" t="s">
        <v>643</v>
      </c>
      <c r="G80" t="s">
        <v>644</v>
      </c>
      <c r="H80" t="s">
        <v>16</v>
      </c>
      <c r="I80" t="s">
        <v>645</v>
      </c>
      <c r="J80" t="s">
        <v>646</v>
      </c>
      <c r="K80" s="4" t="s">
        <v>750</v>
      </c>
    </row>
    <row r="81" spans="1:11" x14ac:dyDescent="0.25">
      <c r="A81" t="s">
        <v>408</v>
      </c>
      <c r="B81" t="s">
        <v>115</v>
      </c>
      <c r="C81" t="s">
        <v>644</v>
      </c>
      <c r="D81" t="s">
        <v>16</v>
      </c>
      <c r="E81" t="s">
        <v>645</v>
      </c>
      <c r="F81" t="s">
        <v>647</v>
      </c>
      <c r="G81" t="s">
        <v>648</v>
      </c>
      <c r="H81" t="s">
        <v>16</v>
      </c>
      <c r="I81" t="s">
        <v>649</v>
      </c>
      <c r="J81" t="s">
        <v>650</v>
      </c>
      <c r="K81" s="4" t="s">
        <v>749</v>
      </c>
    </row>
    <row r="82" spans="1:11" x14ac:dyDescent="0.25">
      <c r="A82" t="s">
        <v>408</v>
      </c>
      <c r="B82" t="s">
        <v>115</v>
      </c>
      <c r="C82" t="s">
        <v>648</v>
      </c>
      <c r="D82" t="s">
        <v>16</v>
      </c>
      <c r="E82" t="s">
        <v>649</v>
      </c>
      <c r="F82" t="s">
        <v>651</v>
      </c>
      <c r="G82" t="s">
        <v>652</v>
      </c>
      <c r="H82" t="s">
        <v>16</v>
      </c>
      <c r="I82" t="s">
        <v>653</v>
      </c>
      <c r="J82" t="s">
        <v>654</v>
      </c>
      <c r="K82" s="4" t="s">
        <v>750</v>
      </c>
    </row>
    <row r="83" spans="1:11" x14ac:dyDescent="0.25">
      <c r="A83" t="s">
        <v>408</v>
      </c>
      <c r="B83" t="s">
        <v>115</v>
      </c>
      <c r="C83" t="s">
        <v>652</v>
      </c>
      <c r="D83" t="s">
        <v>16</v>
      </c>
      <c r="E83" t="s">
        <v>653</v>
      </c>
      <c r="F83" t="s">
        <v>655</v>
      </c>
      <c r="G83" t="s">
        <v>656</v>
      </c>
      <c r="H83" t="s">
        <v>51</v>
      </c>
      <c r="J83" t="s">
        <v>657</v>
      </c>
      <c r="K83" s="4" t="s">
        <v>750</v>
      </c>
    </row>
    <row r="84" spans="1:11" x14ac:dyDescent="0.25">
      <c r="A84" t="s">
        <v>408</v>
      </c>
      <c r="B84" t="s">
        <v>115</v>
      </c>
      <c r="C84" t="s">
        <v>634</v>
      </c>
      <c r="D84" t="s">
        <v>43</v>
      </c>
      <c r="E84" t="s">
        <v>624</v>
      </c>
      <c r="F84" t="s">
        <v>658</v>
      </c>
      <c r="G84" t="s">
        <v>627</v>
      </c>
      <c r="H84" t="s">
        <v>16</v>
      </c>
      <c r="I84" t="s">
        <v>224</v>
      </c>
      <c r="J84" t="s">
        <v>659</v>
      </c>
      <c r="K84" s="4" t="s">
        <v>750</v>
      </c>
    </row>
    <row r="85" spans="1:11" x14ac:dyDescent="0.25">
      <c r="A85" t="s">
        <v>408</v>
      </c>
      <c r="B85" t="s">
        <v>11</v>
      </c>
      <c r="C85" t="s">
        <v>409</v>
      </c>
      <c r="D85" t="s">
        <v>27</v>
      </c>
      <c r="E85" t="s">
        <v>183</v>
      </c>
      <c r="F85" t="s">
        <v>410</v>
      </c>
      <c r="G85" t="s">
        <v>411</v>
      </c>
      <c r="H85" t="s">
        <v>16</v>
      </c>
      <c r="I85" t="s">
        <v>186</v>
      </c>
      <c r="J85" t="s">
        <v>412</v>
      </c>
      <c r="K85" s="4" t="s">
        <v>751</v>
      </c>
    </row>
    <row r="86" spans="1:11" x14ac:dyDescent="0.25">
      <c r="A86" t="s">
        <v>408</v>
      </c>
      <c r="B86" t="s">
        <v>11</v>
      </c>
      <c r="C86" t="s">
        <v>411</v>
      </c>
      <c r="D86" t="s">
        <v>16</v>
      </c>
      <c r="E86" t="s">
        <v>186</v>
      </c>
      <c r="F86" t="s">
        <v>413</v>
      </c>
      <c r="G86" t="s">
        <v>414</v>
      </c>
      <c r="H86" t="s">
        <v>43</v>
      </c>
      <c r="J86" t="s">
        <v>415</v>
      </c>
      <c r="K86" s="4" t="s">
        <v>751</v>
      </c>
    </row>
    <row r="87" spans="1:11" x14ac:dyDescent="0.25">
      <c r="A87" t="s">
        <v>408</v>
      </c>
      <c r="B87" t="s">
        <v>11</v>
      </c>
      <c r="C87" t="s">
        <v>417</v>
      </c>
      <c r="D87" t="s">
        <v>16</v>
      </c>
      <c r="E87" t="s">
        <v>418</v>
      </c>
      <c r="F87" t="s">
        <v>420</v>
      </c>
      <c r="G87" t="s">
        <v>421</v>
      </c>
      <c r="H87" t="s">
        <v>422</v>
      </c>
      <c r="I87" t="s">
        <v>748</v>
      </c>
      <c r="J87" t="s">
        <v>423</v>
      </c>
      <c r="K87" s="4" t="s">
        <v>751</v>
      </c>
    </row>
    <row r="88" spans="1:11" x14ac:dyDescent="0.25">
      <c r="A88" t="s">
        <v>408</v>
      </c>
      <c r="B88" t="s">
        <v>11</v>
      </c>
      <c r="C88" t="s">
        <v>421</v>
      </c>
      <c r="D88" t="s">
        <v>422</v>
      </c>
      <c r="F88" t="s">
        <v>424</v>
      </c>
      <c r="G88" t="s">
        <v>425</v>
      </c>
      <c r="H88" t="s">
        <v>16</v>
      </c>
      <c r="I88" t="s">
        <v>426</v>
      </c>
      <c r="J88" t="s">
        <v>427</v>
      </c>
      <c r="K88" s="4" t="s">
        <v>751</v>
      </c>
    </row>
    <row r="89" spans="1:11" x14ac:dyDescent="0.25">
      <c r="A89" t="s">
        <v>408</v>
      </c>
      <c r="B89" t="s">
        <v>11</v>
      </c>
      <c r="C89" t="s">
        <v>425</v>
      </c>
      <c r="D89" t="s">
        <v>16</v>
      </c>
      <c r="E89" t="s">
        <v>426</v>
      </c>
      <c r="F89" t="s">
        <v>428</v>
      </c>
      <c r="G89" t="s">
        <v>429</v>
      </c>
      <c r="H89" t="s">
        <v>16</v>
      </c>
      <c r="I89" t="s">
        <v>430</v>
      </c>
      <c r="J89" t="s">
        <v>431</v>
      </c>
      <c r="K89" s="4" t="s">
        <v>751</v>
      </c>
    </row>
    <row r="90" spans="1:11" x14ac:dyDescent="0.25">
      <c r="A90" t="s">
        <v>408</v>
      </c>
      <c r="B90" t="s">
        <v>11</v>
      </c>
      <c r="C90" t="s">
        <v>421</v>
      </c>
      <c r="D90" t="s">
        <v>422</v>
      </c>
      <c r="F90" t="s">
        <v>432</v>
      </c>
      <c r="G90" t="s">
        <v>433</v>
      </c>
      <c r="H90" t="s">
        <v>16</v>
      </c>
      <c r="I90" t="s">
        <v>434</v>
      </c>
      <c r="J90" t="s">
        <v>435</v>
      </c>
      <c r="K90" s="4" t="s">
        <v>751</v>
      </c>
    </row>
    <row r="91" spans="1:11" x14ac:dyDescent="0.25">
      <c r="A91" t="s">
        <v>408</v>
      </c>
      <c r="B91" t="s">
        <v>11</v>
      </c>
      <c r="C91" t="s">
        <v>433</v>
      </c>
      <c r="D91" t="s">
        <v>16</v>
      </c>
      <c r="E91" t="s">
        <v>434</v>
      </c>
      <c r="F91" t="s">
        <v>436</v>
      </c>
      <c r="G91" t="s">
        <v>437</v>
      </c>
      <c r="H91" t="s">
        <v>16</v>
      </c>
      <c r="I91" t="s">
        <v>438</v>
      </c>
      <c r="J91" t="s">
        <v>439</v>
      </c>
      <c r="K91" s="4" t="s">
        <v>751</v>
      </c>
    </row>
    <row r="92" spans="1:11" x14ac:dyDescent="0.25">
      <c r="A92" t="s">
        <v>408</v>
      </c>
      <c r="B92" t="s">
        <v>11</v>
      </c>
      <c r="C92" t="s">
        <v>429</v>
      </c>
      <c r="D92" t="s">
        <v>16</v>
      </c>
      <c r="E92" t="s">
        <v>430</v>
      </c>
      <c r="F92" t="s">
        <v>440</v>
      </c>
      <c r="G92" t="s">
        <v>441</v>
      </c>
      <c r="H92" t="s">
        <v>422</v>
      </c>
      <c r="I92" t="s">
        <v>748</v>
      </c>
      <c r="J92" t="s">
        <v>442</v>
      </c>
      <c r="K92" s="4" t="s">
        <v>751</v>
      </c>
    </row>
    <row r="93" spans="1:11" x14ac:dyDescent="0.25">
      <c r="A93" t="s">
        <v>408</v>
      </c>
      <c r="B93" t="s">
        <v>11</v>
      </c>
      <c r="C93" t="s">
        <v>437</v>
      </c>
      <c r="D93" t="s">
        <v>16</v>
      </c>
      <c r="E93" t="s">
        <v>438</v>
      </c>
      <c r="F93" t="s">
        <v>443</v>
      </c>
      <c r="G93" t="s">
        <v>441</v>
      </c>
      <c r="H93" t="s">
        <v>422</v>
      </c>
      <c r="I93" t="s">
        <v>748</v>
      </c>
      <c r="J93" t="s">
        <v>444</v>
      </c>
      <c r="K93" s="4" t="s">
        <v>751</v>
      </c>
    </row>
    <row r="94" spans="1:11" x14ac:dyDescent="0.25">
      <c r="A94" t="s">
        <v>408</v>
      </c>
      <c r="B94" t="s">
        <v>11</v>
      </c>
      <c r="C94" t="s">
        <v>441</v>
      </c>
      <c r="D94" t="s">
        <v>422</v>
      </c>
      <c r="F94" t="s">
        <v>445</v>
      </c>
      <c r="G94" t="s">
        <v>446</v>
      </c>
      <c r="H94" t="s">
        <v>16</v>
      </c>
      <c r="I94" t="s">
        <v>447</v>
      </c>
      <c r="J94" t="s">
        <v>448</v>
      </c>
      <c r="K94" s="4" t="s">
        <v>751</v>
      </c>
    </row>
    <row r="95" spans="1:11" x14ac:dyDescent="0.25">
      <c r="A95" t="s">
        <v>408</v>
      </c>
      <c r="B95" t="s">
        <v>11</v>
      </c>
      <c r="C95" t="s">
        <v>453</v>
      </c>
      <c r="D95" t="s">
        <v>43</v>
      </c>
      <c r="F95" t="s">
        <v>455</v>
      </c>
      <c r="G95" t="s">
        <v>456</v>
      </c>
      <c r="H95" t="s">
        <v>16</v>
      </c>
      <c r="I95" t="s">
        <v>205</v>
      </c>
      <c r="J95" t="s">
        <v>457</v>
      </c>
      <c r="K95" s="4" t="s">
        <v>751</v>
      </c>
    </row>
    <row r="96" spans="1:11" x14ac:dyDescent="0.25">
      <c r="A96" t="s">
        <v>408</v>
      </c>
      <c r="B96" t="s">
        <v>11</v>
      </c>
      <c r="C96" t="s">
        <v>461</v>
      </c>
      <c r="D96" t="s">
        <v>13</v>
      </c>
      <c r="F96" t="s">
        <v>463</v>
      </c>
      <c r="G96" t="s">
        <v>464</v>
      </c>
      <c r="H96" t="s">
        <v>16</v>
      </c>
      <c r="I96" t="s">
        <v>212</v>
      </c>
      <c r="J96" t="s">
        <v>465</v>
      </c>
      <c r="K96" s="4" t="s">
        <v>751</v>
      </c>
    </row>
    <row r="97" spans="1:12" x14ac:dyDescent="0.25">
      <c r="A97" t="s">
        <v>408</v>
      </c>
      <c r="B97" t="s">
        <v>11</v>
      </c>
      <c r="C97" t="s">
        <v>461</v>
      </c>
      <c r="D97" t="s">
        <v>13</v>
      </c>
      <c r="F97" t="s">
        <v>469</v>
      </c>
      <c r="G97" t="s">
        <v>470</v>
      </c>
      <c r="H97" t="s">
        <v>16</v>
      </c>
      <c r="I97" t="s">
        <v>220</v>
      </c>
      <c r="J97" t="s">
        <v>471</v>
      </c>
      <c r="K97" s="4" t="s">
        <v>751</v>
      </c>
    </row>
    <row r="98" spans="1:12" x14ac:dyDescent="0.25">
      <c r="A98" t="s">
        <v>408</v>
      </c>
      <c r="B98" t="s">
        <v>11</v>
      </c>
      <c r="C98" t="s">
        <v>470</v>
      </c>
      <c r="D98" t="s">
        <v>16</v>
      </c>
      <c r="E98" t="s">
        <v>220</v>
      </c>
      <c r="F98" t="s">
        <v>472</v>
      </c>
      <c r="G98" t="s">
        <v>473</v>
      </c>
      <c r="H98" t="s">
        <v>16</v>
      </c>
      <c r="I98" t="s">
        <v>224</v>
      </c>
      <c r="J98" t="s">
        <v>474</v>
      </c>
      <c r="K98" s="4" t="s">
        <v>751</v>
      </c>
    </row>
    <row r="99" spans="1:12" x14ac:dyDescent="0.25">
      <c r="A99" t="s">
        <v>408</v>
      </c>
      <c r="B99" t="s">
        <v>11</v>
      </c>
      <c r="C99" t="s">
        <v>467</v>
      </c>
      <c r="D99" t="s">
        <v>16</v>
      </c>
      <c r="E99" t="s">
        <v>216</v>
      </c>
      <c r="F99" t="s">
        <v>475</v>
      </c>
      <c r="G99" t="s">
        <v>476</v>
      </c>
      <c r="H99" t="s">
        <v>13</v>
      </c>
      <c r="J99" t="s">
        <v>477</v>
      </c>
      <c r="K99" s="4" t="s">
        <v>751</v>
      </c>
    </row>
    <row r="100" spans="1:12" x14ac:dyDescent="0.25">
      <c r="A100" t="s">
        <v>408</v>
      </c>
      <c r="B100" t="s">
        <v>11</v>
      </c>
      <c r="C100" t="s">
        <v>473</v>
      </c>
      <c r="D100" t="s">
        <v>16</v>
      </c>
      <c r="E100" t="s">
        <v>224</v>
      </c>
      <c r="F100" t="s">
        <v>478</v>
      </c>
      <c r="G100" t="s">
        <v>476</v>
      </c>
      <c r="H100" t="s">
        <v>13</v>
      </c>
      <c r="J100" t="s">
        <v>479</v>
      </c>
      <c r="K100" s="4" t="s">
        <v>751</v>
      </c>
    </row>
    <row r="101" spans="1:12" x14ac:dyDescent="0.25">
      <c r="A101" t="s">
        <v>408</v>
      </c>
      <c r="B101" t="s">
        <v>11</v>
      </c>
      <c r="C101" t="s">
        <v>476</v>
      </c>
      <c r="D101" t="s">
        <v>13</v>
      </c>
      <c r="F101" t="s">
        <v>480</v>
      </c>
      <c r="G101" t="s">
        <v>481</v>
      </c>
      <c r="H101" t="s">
        <v>16</v>
      </c>
      <c r="I101" t="s">
        <v>233</v>
      </c>
      <c r="J101" t="s">
        <v>482</v>
      </c>
      <c r="K101" s="4" t="s">
        <v>751</v>
      </c>
    </row>
    <row r="102" spans="1:12" x14ac:dyDescent="0.25">
      <c r="A102" t="s">
        <v>408</v>
      </c>
      <c r="B102" t="s">
        <v>11</v>
      </c>
      <c r="C102" t="s">
        <v>481</v>
      </c>
      <c r="D102" t="s">
        <v>16</v>
      </c>
      <c r="E102" t="s">
        <v>233</v>
      </c>
      <c r="F102" t="s">
        <v>483</v>
      </c>
      <c r="G102" t="s">
        <v>484</v>
      </c>
      <c r="H102" t="s">
        <v>51</v>
      </c>
      <c r="I102" t="s">
        <v>237</v>
      </c>
      <c r="J102" t="s">
        <v>485</v>
      </c>
      <c r="K102" s="4" t="s">
        <v>751</v>
      </c>
    </row>
    <row r="104" spans="1:12" x14ac:dyDescent="0.25">
      <c r="A104" t="s">
        <v>408</v>
      </c>
      <c r="B104" t="s">
        <v>172</v>
      </c>
      <c r="C104" t="s">
        <v>660</v>
      </c>
      <c r="D104" t="s">
        <v>27</v>
      </c>
      <c r="E104" t="s">
        <v>183</v>
      </c>
      <c r="F104" t="s">
        <v>661</v>
      </c>
      <c r="G104" t="s">
        <v>662</v>
      </c>
      <c r="H104" t="s">
        <v>16</v>
      </c>
      <c r="I104" t="s">
        <v>663</v>
      </c>
      <c r="J104" t="s">
        <v>664</v>
      </c>
      <c r="K104" s="4" t="s">
        <v>750</v>
      </c>
    </row>
    <row r="105" spans="1:12" x14ac:dyDescent="0.25">
      <c r="A105" t="s">
        <v>408</v>
      </c>
      <c r="B105" t="s">
        <v>172</v>
      </c>
      <c r="C105" t="s">
        <v>662</v>
      </c>
      <c r="D105" t="s">
        <v>16</v>
      </c>
      <c r="E105" t="s">
        <v>663</v>
      </c>
      <c r="F105" t="s">
        <v>665</v>
      </c>
      <c r="G105" t="s">
        <v>666</v>
      </c>
      <c r="H105" t="s">
        <v>16</v>
      </c>
      <c r="I105" t="s">
        <v>667</v>
      </c>
      <c r="J105" t="s">
        <v>668</v>
      </c>
      <c r="K105" s="4" t="s">
        <v>750</v>
      </c>
    </row>
    <row r="106" spans="1:12" x14ac:dyDescent="0.25">
      <c r="A106" t="s">
        <v>408</v>
      </c>
      <c r="B106" t="s">
        <v>172</v>
      </c>
      <c r="C106" t="s">
        <v>666</v>
      </c>
      <c r="D106" t="s">
        <v>16</v>
      </c>
      <c r="E106" t="s">
        <v>667</v>
      </c>
      <c r="F106" t="s">
        <v>669</v>
      </c>
      <c r="G106" t="s">
        <v>670</v>
      </c>
      <c r="H106" t="s">
        <v>43</v>
      </c>
      <c r="I106" t="s">
        <v>361</v>
      </c>
      <c r="J106" t="s">
        <v>671</v>
      </c>
      <c r="K106" s="4" t="s">
        <v>749</v>
      </c>
    </row>
    <row r="107" spans="1:12" x14ac:dyDescent="0.25">
      <c r="A107" t="s">
        <v>408</v>
      </c>
      <c r="B107" t="s">
        <v>172</v>
      </c>
      <c r="C107" t="s">
        <v>672</v>
      </c>
      <c r="D107" t="s">
        <v>16</v>
      </c>
      <c r="E107" t="s">
        <v>201</v>
      </c>
      <c r="F107" t="s">
        <v>673</v>
      </c>
      <c r="G107" t="s">
        <v>674</v>
      </c>
      <c r="H107" t="s">
        <v>16</v>
      </c>
      <c r="I107" t="s">
        <v>675</v>
      </c>
      <c r="J107" t="s">
        <v>676</v>
      </c>
      <c r="K107" s="4" t="s">
        <v>749</v>
      </c>
      <c r="L107" t="s">
        <v>792</v>
      </c>
    </row>
    <row r="108" spans="1:12" x14ac:dyDescent="0.25">
      <c r="A108" t="s">
        <v>408</v>
      </c>
      <c r="B108" t="s">
        <v>172</v>
      </c>
      <c r="C108" t="s">
        <v>674</v>
      </c>
      <c r="D108" t="s">
        <v>16</v>
      </c>
      <c r="E108" t="s">
        <v>675</v>
      </c>
      <c r="F108" t="s">
        <v>677</v>
      </c>
      <c r="G108" t="s">
        <v>678</v>
      </c>
      <c r="H108" t="s">
        <v>43</v>
      </c>
      <c r="J108" t="s">
        <v>679</v>
      </c>
      <c r="K108" s="4" t="s">
        <v>750</v>
      </c>
    </row>
    <row r="109" spans="1:12" x14ac:dyDescent="0.25">
      <c r="A109" t="s">
        <v>408</v>
      </c>
      <c r="B109" t="s">
        <v>172</v>
      </c>
      <c r="C109" t="s">
        <v>670</v>
      </c>
      <c r="D109" t="s">
        <v>43</v>
      </c>
      <c r="E109" t="s">
        <v>361</v>
      </c>
      <c r="F109" t="s">
        <v>680</v>
      </c>
      <c r="G109" t="s">
        <v>672</v>
      </c>
      <c r="H109" t="s">
        <v>16</v>
      </c>
      <c r="I109" t="s">
        <v>201</v>
      </c>
      <c r="J109" t="s">
        <v>681</v>
      </c>
      <c r="K109" s="4" t="s">
        <v>749</v>
      </c>
    </row>
    <row r="110" spans="1:12" x14ac:dyDescent="0.25">
      <c r="A110" t="s">
        <v>408</v>
      </c>
      <c r="B110" t="s">
        <v>172</v>
      </c>
      <c r="C110" t="s">
        <v>682</v>
      </c>
      <c r="D110" t="s">
        <v>16</v>
      </c>
      <c r="E110" t="s">
        <v>683</v>
      </c>
      <c r="F110" t="s">
        <v>684</v>
      </c>
      <c r="G110" t="s">
        <v>685</v>
      </c>
      <c r="H110" t="s">
        <v>43</v>
      </c>
      <c r="I110" t="s">
        <v>686</v>
      </c>
      <c r="J110" t="s">
        <v>687</v>
      </c>
      <c r="K110" s="4" t="s">
        <v>750</v>
      </c>
    </row>
    <row r="111" spans="1:12" x14ac:dyDescent="0.25">
      <c r="A111" t="s">
        <v>408</v>
      </c>
      <c r="B111" t="s">
        <v>172</v>
      </c>
      <c r="C111" t="s">
        <v>688</v>
      </c>
      <c r="D111" t="s">
        <v>16</v>
      </c>
      <c r="E111" t="s">
        <v>689</v>
      </c>
      <c r="F111" t="s">
        <v>690</v>
      </c>
      <c r="G111" t="s">
        <v>691</v>
      </c>
      <c r="H111" t="s">
        <v>16</v>
      </c>
      <c r="I111" t="s">
        <v>692</v>
      </c>
      <c r="J111" t="s">
        <v>693</v>
      </c>
      <c r="K111" s="4" t="s">
        <v>749</v>
      </c>
    </row>
    <row r="112" spans="1:12" x14ac:dyDescent="0.25">
      <c r="A112" t="s">
        <v>408</v>
      </c>
      <c r="B112" t="s">
        <v>172</v>
      </c>
      <c r="C112" t="s">
        <v>691</v>
      </c>
      <c r="D112" t="s">
        <v>16</v>
      </c>
      <c r="E112" t="s">
        <v>692</v>
      </c>
      <c r="F112" t="s">
        <v>694</v>
      </c>
      <c r="G112" t="s">
        <v>695</v>
      </c>
      <c r="H112" t="s">
        <v>16</v>
      </c>
      <c r="I112" t="s">
        <v>447</v>
      </c>
      <c r="J112" t="s">
        <v>696</v>
      </c>
      <c r="K112" s="4" t="s">
        <v>750</v>
      </c>
    </row>
    <row r="113" spans="1:11" x14ac:dyDescent="0.25">
      <c r="A113" t="s">
        <v>408</v>
      </c>
      <c r="B113" t="s">
        <v>172</v>
      </c>
      <c r="C113" t="s">
        <v>695</v>
      </c>
      <c r="D113" t="s">
        <v>16</v>
      </c>
      <c r="E113" t="s">
        <v>447</v>
      </c>
      <c r="F113" t="s">
        <v>697</v>
      </c>
      <c r="G113" t="s">
        <v>698</v>
      </c>
      <c r="H113" t="s">
        <v>16</v>
      </c>
      <c r="I113" t="s">
        <v>699</v>
      </c>
      <c r="J113" t="s">
        <v>700</v>
      </c>
      <c r="K113" s="4" t="s">
        <v>749</v>
      </c>
    </row>
    <row r="114" spans="1:11" x14ac:dyDescent="0.25">
      <c r="A114" t="s">
        <v>408</v>
      </c>
      <c r="B114" t="s">
        <v>172</v>
      </c>
      <c r="C114" t="s">
        <v>698</v>
      </c>
      <c r="D114" t="s">
        <v>16</v>
      </c>
      <c r="E114" t="s">
        <v>699</v>
      </c>
      <c r="F114" t="s">
        <v>701</v>
      </c>
      <c r="G114" t="s">
        <v>678</v>
      </c>
      <c r="H114" t="s">
        <v>43</v>
      </c>
      <c r="J114" t="s">
        <v>702</v>
      </c>
      <c r="K114" s="4" t="s">
        <v>750</v>
      </c>
    </row>
    <row r="115" spans="1:11" x14ac:dyDescent="0.25">
      <c r="A115" t="s">
        <v>408</v>
      </c>
      <c r="B115" t="s">
        <v>172</v>
      </c>
      <c r="C115" t="s">
        <v>685</v>
      </c>
      <c r="D115" t="s">
        <v>43</v>
      </c>
      <c r="E115" t="s">
        <v>686</v>
      </c>
      <c r="F115" t="s">
        <v>703</v>
      </c>
      <c r="G115" t="s">
        <v>688</v>
      </c>
      <c r="H115" t="s">
        <v>16</v>
      </c>
      <c r="I115" t="s">
        <v>689</v>
      </c>
      <c r="J115" t="s">
        <v>704</v>
      </c>
      <c r="K115" s="4" t="s">
        <v>750</v>
      </c>
    </row>
    <row r="116" spans="1:11" x14ac:dyDescent="0.25">
      <c r="A116" t="s">
        <v>408</v>
      </c>
      <c r="B116" t="s">
        <v>172</v>
      </c>
      <c r="C116" t="s">
        <v>685</v>
      </c>
      <c r="D116" t="s">
        <v>43</v>
      </c>
      <c r="E116" t="s">
        <v>686</v>
      </c>
      <c r="F116" t="s">
        <v>705</v>
      </c>
      <c r="G116" t="s">
        <v>682</v>
      </c>
      <c r="H116" t="s">
        <v>16</v>
      </c>
      <c r="I116" t="s">
        <v>683</v>
      </c>
      <c r="J116" t="s">
        <v>706</v>
      </c>
      <c r="K116" s="4" t="s">
        <v>750</v>
      </c>
    </row>
    <row r="117" spans="1:11" x14ac:dyDescent="0.25">
      <c r="A117" t="s">
        <v>408</v>
      </c>
      <c r="B117" t="s">
        <v>172</v>
      </c>
      <c r="C117" t="s">
        <v>670</v>
      </c>
      <c r="D117" t="s">
        <v>43</v>
      </c>
      <c r="E117" t="s">
        <v>361</v>
      </c>
      <c r="F117" t="s">
        <v>707</v>
      </c>
      <c r="G117" t="s">
        <v>682</v>
      </c>
      <c r="H117" t="s">
        <v>16</v>
      </c>
      <c r="I117" t="s">
        <v>683</v>
      </c>
      <c r="J117" t="s">
        <v>708</v>
      </c>
      <c r="K117" s="4" t="s">
        <v>749</v>
      </c>
    </row>
    <row r="118" spans="1:11" x14ac:dyDescent="0.25">
      <c r="A118" t="s">
        <v>408</v>
      </c>
      <c r="B118" t="s">
        <v>172</v>
      </c>
      <c r="C118" t="s">
        <v>678</v>
      </c>
      <c r="D118" t="s">
        <v>43</v>
      </c>
      <c r="F118" t="s">
        <v>709</v>
      </c>
      <c r="G118" t="s">
        <v>710</v>
      </c>
      <c r="H118" t="s">
        <v>16</v>
      </c>
      <c r="I118" t="s">
        <v>370</v>
      </c>
      <c r="J118" t="s">
        <v>711</v>
      </c>
      <c r="K118" s="4" t="s">
        <v>750</v>
      </c>
    </row>
    <row r="119" spans="1:11" x14ac:dyDescent="0.25">
      <c r="A119" t="s">
        <v>408</v>
      </c>
      <c r="B119" t="s">
        <v>172</v>
      </c>
      <c r="C119" t="s">
        <v>710</v>
      </c>
      <c r="D119" t="s">
        <v>16</v>
      </c>
      <c r="E119" t="s">
        <v>370</v>
      </c>
      <c r="F119" t="s">
        <v>712</v>
      </c>
      <c r="G119" t="s">
        <v>713</v>
      </c>
      <c r="H119" t="s">
        <v>13</v>
      </c>
      <c r="J119" t="s">
        <v>714</v>
      </c>
      <c r="K119" s="4" t="s">
        <v>750</v>
      </c>
    </row>
    <row r="120" spans="1:11" x14ac:dyDescent="0.25">
      <c r="A120" t="s">
        <v>408</v>
      </c>
      <c r="B120" t="s">
        <v>172</v>
      </c>
      <c r="C120" t="s">
        <v>715</v>
      </c>
      <c r="D120" t="s">
        <v>16</v>
      </c>
      <c r="E120" t="s">
        <v>331</v>
      </c>
      <c r="F120" t="s">
        <v>716</v>
      </c>
      <c r="G120" t="s">
        <v>717</v>
      </c>
      <c r="H120" t="s">
        <v>13</v>
      </c>
      <c r="J120" t="s">
        <v>718</v>
      </c>
      <c r="K120" s="4" t="s">
        <v>749</v>
      </c>
    </row>
    <row r="121" spans="1:11" x14ac:dyDescent="0.25">
      <c r="A121" t="s">
        <v>408</v>
      </c>
      <c r="B121" t="s">
        <v>172</v>
      </c>
      <c r="C121" t="s">
        <v>713</v>
      </c>
      <c r="D121" t="s">
        <v>13</v>
      </c>
      <c r="F121" t="s">
        <v>719</v>
      </c>
      <c r="G121" t="s">
        <v>715</v>
      </c>
      <c r="H121" t="s">
        <v>16</v>
      </c>
      <c r="I121" t="s">
        <v>331</v>
      </c>
      <c r="J121" t="s">
        <v>720</v>
      </c>
      <c r="K121" s="4" t="s">
        <v>750</v>
      </c>
    </row>
    <row r="122" spans="1:11" x14ac:dyDescent="0.25">
      <c r="A122" t="s">
        <v>408</v>
      </c>
      <c r="B122" t="s">
        <v>172</v>
      </c>
      <c r="C122" t="s">
        <v>721</v>
      </c>
      <c r="D122" t="s">
        <v>16</v>
      </c>
      <c r="E122" t="s">
        <v>722</v>
      </c>
      <c r="F122" t="s">
        <v>723</v>
      </c>
      <c r="G122" t="s">
        <v>724</v>
      </c>
      <c r="H122" t="s">
        <v>16</v>
      </c>
      <c r="I122" t="s">
        <v>725</v>
      </c>
      <c r="J122" t="s">
        <v>726</v>
      </c>
      <c r="K122" s="4" t="s">
        <v>749</v>
      </c>
    </row>
    <row r="123" spans="1:11" x14ac:dyDescent="0.25">
      <c r="A123" t="s">
        <v>408</v>
      </c>
      <c r="B123" t="s">
        <v>172</v>
      </c>
      <c r="C123" t="s">
        <v>724</v>
      </c>
      <c r="D123" t="s">
        <v>16</v>
      </c>
      <c r="E123" t="s">
        <v>725</v>
      </c>
      <c r="F123" t="s">
        <v>727</v>
      </c>
      <c r="G123" t="s">
        <v>717</v>
      </c>
      <c r="H123" t="s">
        <v>13</v>
      </c>
      <c r="J123" t="s">
        <v>728</v>
      </c>
      <c r="K123" s="4" t="s">
        <v>749</v>
      </c>
    </row>
    <row r="124" spans="1:11" x14ac:dyDescent="0.25">
      <c r="A124" t="s">
        <v>408</v>
      </c>
      <c r="B124" t="s">
        <v>172</v>
      </c>
      <c r="C124" t="s">
        <v>713</v>
      </c>
      <c r="D124" t="s">
        <v>13</v>
      </c>
      <c r="F124" t="s">
        <v>729</v>
      </c>
      <c r="G124" t="s">
        <v>721</v>
      </c>
      <c r="H124" t="s">
        <v>16</v>
      </c>
      <c r="I124" t="s">
        <v>722</v>
      </c>
      <c r="J124" t="s">
        <v>730</v>
      </c>
      <c r="K124" s="4" t="s">
        <v>749</v>
      </c>
    </row>
    <row r="125" spans="1:11" x14ac:dyDescent="0.25">
      <c r="A125" t="s">
        <v>408</v>
      </c>
      <c r="B125" t="s">
        <v>172</v>
      </c>
      <c r="C125" t="s">
        <v>717</v>
      </c>
      <c r="D125" t="s">
        <v>13</v>
      </c>
      <c r="F125" t="s">
        <v>731</v>
      </c>
      <c r="G125" t="s">
        <v>732</v>
      </c>
      <c r="H125" t="s">
        <v>16</v>
      </c>
      <c r="I125" t="s">
        <v>233</v>
      </c>
      <c r="J125" t="s">
        <v>733</v>
      </c>
      <c r="K125" s="4" t="s">
        <v>749</v>
      </c>
    </row>
    <row r="126" spans="1:11" x14ac:dyDescent="0.25">
      <c r="A126" t="s">
        <v>408</v>
      </c>
      <c r="B126" t="s">
        <v>172</v>
      </c>
      <c r="C126" t="s">
        <v>732</v>
      </c>
      <c r="D126" t="s">
        <v>16</v>
      </c>
      <c r="E126" t="s">
        <v>233</v>
      </c>
      <c r="F126" t="s">
        <v>734</v>
      </c>
      <c r="G126" t="s">
        <v>735</v>
      </c>
      <c r="H126" t="s">
        <v>51</v>
      </c>
      <c r="I126" t="s">
        <v>736</v>
      </c>
      <c r="J126" t="s">
        <v>737</v>
      </c>
      <c r="K126" s="4" t="s">
        <v>749</v>
      </c>
    </row>
    <row r="127" spans="1:11" x14ac:dyDescent="0.25">
      <c r="A127" t="s">
        <v>408</v>
      </c>
      <c r="B127" t="s">
        <v>11</v>
      </c>
      <c r="C127" t="s">
        <v>409</v>
      </c>
      <c r="D127" t="s">
        <v>27</v>
      </c>
      <c r="E127" t="s">
        <v>183</v>
      </c>
      <c r="F127" t="s">
        <v>410</v>
      </c>
      <c r="G127" t="s">
        <v>411</v>
      </c>
      <c r="H127" t="s">
        <v>16</v>
      </c>
      <c r="I127" t="s">
        <v>186</v>
      </c>
      <c r="J127" t="s">
        <v>412</v>
      </c>
      <c r="K127" s="4" t="s">
        <v>751</v>
      </c>
    </row>
    <row r="128" spans="1:11" x14ac:dyDescent="0.25">
      <c r="A128" t="s">
        <v>408</v>
      </c>
      <c r="B128" t="s">
        <v>11</v>
      </c>
      <c r="C128" t="s">
        <v>417</v>
      </c>
      <c r="D128" t="s">
        <v>16</v>
      </c>
      <c r="E128" t="s">
        <v>418</v>
      </c>
      <c r="F128" t="s">
        <v>420</v>
      </c>
      <c r="G128" t="s">
        <v>421</v>
      </c>
      <c r="H128" t="s">
        <v>422</v>
      </c>
      <c r="J128" t="s">
        <v>423</v>
      </c>
      <c r="K128" s="4" t="s">
        <v>751</v>
      </c>
    </row>
    <row r="129" spans="1:11" x14ac:dyDescent="0.25">
      <c r="A129" t="s">
        <v>408</v>
      </c>
      <c r="B129" t="s">
        <v>11</v>
      </c>
      <c r="C129" t="s">
        <v>421</v>
      </c>
      <c r="D129" t="s">
        <v>422</v>
      </c>
      <c r="F129" t="s">
        <v>424</v>
      </c>
      <c r="G129" t="s">
        <v>425</v>
      </c>
      <c r="H129" t="s">
        <v>16</v>
      </c>
      <c r="I129" t="s">
        <v>426</v>
      </c>
      <c r="J129" t="s">
        <v>427</v>
      </c>
      <c r="K129" s="4" t="s">
        <v>751</v>
      </c>
    </row>
    <row r="130" spans="1:11" x14ac:dyDescent="0.25">
      <c r="A130" t="s">
        <v>408</v>
      </c>
      <c r="B130" t="s">
        <v>11</v>
      </c>
      <c r="C130" t="s">
        <v>421</v>
      </c>
      <c r="D130" t="s">
        <v>422</v>
      </c>
      <c r="F130" t="s">
        <v>432</v>
      </c>
      <c r="G130" t="s">
        <v>433</v>
      </c>
      <c r="H130" t="s">
        <v>16</v>
      </c>
      <c r="I130" t="s">
        <v>434</v>
      </c>
      <c r="J130" t="s">
        <v>435</v>
      </c>
      <c r="K130" s="4" t="s">
        <v>751</v>
      </c>
    </row>
    <row r="131" spans="1:11" x14ac:dyDescent="0.25">
      <c r="A131" t="s">
        <v>408</v>
      </c>
      <c r="B131" t="s">
        <v>11</v>
      </c>
      <c r="C131" t="s">
        <v>433</v>
      </c>
      <c r="D131" t="s">
        <v>16</v>
      </c>
      <c r="E131" t="s">
        <v>434</v>
      </c>
      <c r="F131" t="s">
        <v>436</v>
      </c>
      <c r="G131" t="s">
        <v>437</v>
      </c>
      <c r="H131" t="s">
        <v>16</v>
      </c>
      <c r="I131" t="s">
        <v>438</v>
      </c>
      <c r="J131" t="s">
        <v>439</v>
      </c>
      <c r="K131" s="4" t="s">
        <v>751</v>
      </c>
    </row>
    <row r="132" spans="1:11" x14ac:dyDescent="0.25">
      <c r="A132" t="s">
        <v>408</v>
      </c>
      <c r="B132" t="s">
        <v>11</v>
      </c>
      <c r="C132" t="s">
        <v>429</v>
      </c>
      <c r="D132" t="s">
        <v>16</v>
      </c>
      <c r="E132" t="s">
        <v>430</v>
      </c>
      <c r="F132" t="s">
        <v>440</v>
      </c>
      <c r="G132" t="s">
        <v>441</v>
      </c>
      <c r="H132" t="s">
        <v>422</v>
      </c>
      <c r="J132" t="s">
        <v>442</v>
      </c>
      <c r="K132" s="4" t="s">
        <v>751</v>
      </c>
    </row>
    <row r="133" spans="1:11" x14ac:dyDescent="0.25">
      <c r="A133" t="s">
        <v>408</v>
      </c>
      <c r="B133" t="s">
        <v>11</v>
      </c>
      <c r="C133" t="s">
        <v>437</v>
      </c>
      <c r="D133" t="s">
        <v>16</v>
      </c>
      <c r="E133" t="s">
        <v>438</v>
      </c>
      <c r="F133" t="s">
        <v>443</v>
      </c>
      <c r="G133" t="s">
        <v>441</v>
      </c>
      <c r="H133" t="s">
        <v>422</v>
      </c>
      <c r="J133" t="s">
        <v>444</v>
      </c>
      <c r="K133" s="4" t="s">
        <v>751</v>
      </c>
    </row>
    <row r="134" spans="1:11" x14ac:dyDescent="0.25">
      <c r="A134" t="s">
        <v>408</v>
      </c>
      <c r="B134" t="s">
        <v>11</v>
      </c>
      <c r="C134" t="s">
        <v>441</v>
      </c>
      <c r="D134" t="s">
        <v>422</v>
      </c>
      <c r="F134" t="s">
        <v>445</v>
      </c>
      <c r="G134" t="s">
        <v>446</v>
      </c>
      <c r="H134" t="s">
        <v>16</v>
      </c>
      <c r="I134" t="s">
        <v>447</v>
      </c>
      <c r="J134" t="s">
        <v>448</v>
      </c>
      <c r="K134" s="4" t="s">
        <v>751</v>
      </c>
    </row>
    <row r="135" spans="1:11" x14ac:dyDescent="0.25">
      <c r="A135" t="s">
        <v>408</v>
      </c>
      <c r="B135" t="s">
        <v>11</v>
      </c>
      <c r="C135" t="s">
        <v>456</v>
      </c>
      <c r="D135" t="s">
        <v>16</v>
      </c>
      <c r="E135" t="s">
        <v>205</v>
      </c>
      <c r="F135" t="s">
        <v>460</v>
      </c>
      <c r="G135" t="s">
        <v>461</v>
      </c>
      <c r="H135" t="s">
        <v>13</v>
      </c>
      <c r="J135" t="s">
        <v>462</v>
      </c>
      <c r="K135" s="4" t="s">
        <v>751</v>
      </c>
    </row>
    <row r="136" spans="1:11" x14ac:dyDescent="0.25">
      <c r="A136" t="s">
        <v>408</v>
      </c>
      <c r="B136" t="s">
        <v>11</v>
      </c>
      <c r="C136" t="s">
        <v>461</v>
      </c>
      <c r="D136" t="s">
        <v>13</v>
      </c>
      <c r="F136" t="s">
        <v>463</v>
      </c>
      <c r="G136" t="s">
        <v>464</v>
      </c>
      <c r="H136" t="s">
        <v>16</v>
      </c>
      <c r="I136" t="s">
        <v>212</v>
      </c>
      <c r="J136" t="s">
        <v>465</v>
      </c>
      <c r="K136" s="4" t="s">
        <v>751</v>
      </c>
    </row>
    <row r="137" spans="1:11" x14ac:dyDescent="0.25">
      <c r="A137" t="s">
        <v>408</v>
      </c>
      <c r="B137" t="s">
        <v>11</v>
      </c>
      <c r="C137" t="s">
        <v>464</v>
      </c>
      <c r="D137" t="s">
        <v>16</v>
      </c>
      <c r="E137" t="s">
        <v>212</v>
      </c>
      <c r="F137" t="s">
        <v>466</v>
      </c>
      <c r="G137" t="s">
        <v>467</v>
      </c>
      <c r="H137" t="s">
        <v>16</v>
      </c>
      <c r="I137" t="s">
        <v>216</v>
      </c>
      <c r="J137" t="s">
        <v>468</v>
      </c>
      <c r="K137" s="4" t="s">
        <v>751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A1AB-D46E-4554-A7D5-FF1324742182}">
  <dimension ref="A1:I146"/>
  <sheetViews>
    <sheetView zoomScale="85" zoomScaleNormal="85" workbookViewId="0">
      <pane ySplit="1" topLeftCell="A128" activePane="bottomLeft" state="frozen"/>
      <selection pane="bottomLeft" activeCell="F137" sqref="F137"/>
    </sheetView>
  </sheetViews>
  <sheetFormatPr baseColWidth="10" defaultRowHeight="15" x14ac:dyDescent="0.25"/>
  <cols>
    <col min="3" max="3" width="18.42578125" bestFit="1" customWidth="1"/>
    <col min="4" max="4" width="15.42578125" style="4" bestFit="1" customWidth="1"/>
    <col min="5" max="5" width="22.85546875" customWidth="1"/>
    <col min="6" max="6" width="10.85546875" style="4"/>
  </cols>
  <sheetData>
    <row r="1" spans="1:6" x14ac:dyDescent="0.25">
      <c r="A1" s="1" t="s">
        <v>0</v>
      </c>
      <c r="B1" s="1" t="s">
        <v>1</v>
      </c>
      <c r="C1" s="1" t="s">
        <v>798</v>
      </c>
      <c r="D1" s="3" t="s">
        <v>796</v>
      </c>
      <c r="E1" s="1" t="s">
        <v>797</v>
      </c>
      <c r="F1" s="3" t="s">
        <v>180</v>
      </c>
    </row>
    <row r="2" spans="1:6" x14ac:dyDescent="0.25">
      <c r="A2" t="s">
        <v>10</v>
      </c>
      <c r="B2" t="s">
        <v>11</v>
      </c>
      <c r="C2" t="s">
        <v>15</v>
      </c>
      <c r="D2" s="4" t="s">
        <v>16</v>
      </c>
      <c r="E2" t="s">
        <v>17</v>
      </c>
      <c r="F2" s="4" t="s">
        <v>752</v>
      </c>
    </row>
    <row r="3" spans="1:6" x14ac:dyDescent="0.25">
      <c r="A3" t="s">
        <v>10</v>
      </c>
      <c r="B3" t="s">
        <v>11</v>
      </c>
      <c r="C3" t="s">
        <v>20</v>
      </c>
      <c r="D3" s="4" t="s">
        <v>16</v>
      </c>
      <c r="E3" t="s">
        <v>21</v>
      </c>
      <c r="F3" s="4" t="s">
        <v>752</v>
      </c>
    </row>
    <row r="4" spans="1:6" x14ac:dyDescent="0.25">
      <c r="A4" t="s">
        <v>10</v>
      </c>
      <c r="B4" t="s">
        <v>11</v>
      </c>
      <c r="C4" t="s">
        <v>32</v>
      </c>
      <c r="D4" s="4" t="s">
        <v>16</v>
      </c>
      <c r="E4" t="s">
        <v>33</v>
      </c>
      <c r="F4" s="4" t="s">
        <v>752</v>
      </c>
    </row>
    <row r="5" spans="1:6" x14ac:dyDescent="0.25">
      <c r="A5" t="s">
        <v>10</v>
      </c>
      <c r="B5" t="s">
        <v>11</v>
      </c>
      <c r="C5" t="s">
        <v>38</v>
      </c>
      <c r="D5" s="4" t="s">
        <v>16</v>
      </c>
      <c r="E5" t="s">
        <v>39</v>
      </c>
      <c r="F5" s="4" t="s">
        <v>752</v>
      </c>
    </row>
    <row r="6" spans="1:6" x14ac:dyDescent="0.25">
      <c r="A6" t="s">
        <v>10</v>
      </c>
      <c r="B6" t="s">
        <v>11</v>
      </c>
      <c r="C6" t="s">
        <v>46</v>
      </c>
      <c r="D6" s="4" t="s">
        <v>16</v>
      </c>
      <c r="E6" t="s">
        <v>47</v>
      </c>
      <c r="F6" s="4" t="s">
        <v>752</v>
      </c>
    </row>
    <row r="7" spans="1:6" x14ac:dyDescent="0.25">
      <c r="A7" t="s">
        <v>10</v>
      </c>
      <c r="B7" t="s">
        <v>11</v>
      </c>
      <c r="C7" t="s">
        <v>55</v>
      </c>
      <c r="D7" s="4" t="s">
        <v>16</v>
      </c>
      <c r="E7" t="s">
        <v>56</v>
      </c>
      <c r="F7" s="4" t="s">
        <v>752</v>
      </c>
    </row>
    <row r="8" spans="1:6" x14ac:dyDescent="0.25">
      <c r="A8" t="s">
        <v>10</v>
      </c>
      <c r="B8" t="s">
        <v>11</v>
      </c>
      <c r="C8" t="s">
        <v>59</v>
      </c>
      <c r="D8" s="4" t="s">
        <v>16</v>
      </c>
      <c r="E8" t="s">
        <v>60</v>
      </c>
      <c r="F8" s="4" t="s">
        <v>752</v>
      </c>
    </row>
    <row r="9" spans="1:6" x14ac:dyDescent="0.25">
      <c r="D9" s="4" t="s">
        <v>748</v>
      </c>
    </row>
    <row r="10" spans="1:6" x14ac:dyDescent="0.25">
      <c r="A10" t="s">
        <v>10</v>
      </c>
      <c r="B10" t="s">
        <v>65</v>
      </c>
      <c r="C10" t="s">
        <v>72</v>
      </c>
      <c r="D10" s="4" t="s">
        <v>16</v>
      </c>
      <c r="E10" t="s">
        <v>73</v>
      </c>
      <c r="F10" s="4" t="s">
        <v>749</v>
      </c>
    </row>
    <row r="11" spans="1:6" x14ac:dyDescent="0.25">
      <c r="A11" t="s">
        <v>10</v>
      </c>
      <c r="B11" t="s">
        <v>65</v>
      </c>
      <c r="C11" t="s">
        <v>76</v>
      </c>
      <c r="D11" s="4" t="s">
        <v>16</v>
      </c>
      <c r="E11" t="s">
        <v>77</v>
      </c>
      <c r="F11" s="4" t="s">
        <v>749</v>
      </c>
    </row>
    <row r="12" spans="1:6" x14ac:dyDescent="0.25">
      <c r="A12" t="s">
        <v>10</v>
      </c>
      <c r="B12" t="s">
        <v>65</v>
      </c>
      <c r="C12" t="s">
        <v>85</v>
      </c>
      <c r="D12" s="4" t="s">
        <v>16</v>
      </c>
      <c r="E12" t="s">
        <v>86</v>
      </c>
      <c r="F12" s="4" t="s">
        <v>749</v>
      </c>
    </row>
    <row r="13" spans="1:6" x14ac:dyDescent="0.25">
      <c r="A13" t="s">
        <v>10</v>
      </c>
      <c r="B13" t="s">
        <v>65</v>
      </c>
      <c r="C13" t="s">
        <v>89</v>
      </c>
      <c r="D13" s="4" t="s">
        <v>16</v>
      </c>
      <c r="E13" t="s">
        <v>90</v>
      </c>
      <c r="F13" s="4" t="s">
        <v>749</v>
      </c>
    </row>
    <row r="14" spans="1:6" x14ac:dyDescent="0.25">
      <c r="A14" t="s">
        <v>10</v>
      </c>
      <c r="B14" t="s">
        <v>65</v>
      </c>
      <c r="C14" t="s">
        <v>100</v>
      </c>
      <c r="D14" s="4" t="s">
        <v>16</v>
      </c>
      <c r="E14" t="s">
        <v>101</v>
      </c>
      <c r="F14" s="4" t="s">
        <v>749</v>
      </c>
    </row>
    <row r="15" spans="1:6" x14ac:dyDescent="0.25">
      <c r="A15" t="s">
        <v>10</v>
      </c>
      <c r="B15" t="s">
        <v>65</v>
      </c>
      <c r="C15" t="s">
        <v>104</v>
      </c>
      <c r="D15" s="4" t="s">
        <v>16</v>
      </c>
      <c r="E15" t="s">
        <v>105</v>
      </c>
      <c r="F15" s="4" t="s">
        <v>749</v>
      </c>
    </row>
    <row r="16" spans="1:6" x14ac:dyDescent="0.25">
      <c r="A16" t="s">
        <v>10</v>
      </c>
      <c r="B16" t="s">
        <v>65</v>
      </c>
      <c r="C16" t="s">
        <v>96</v>
      </c>
      <c r="D16" s="4" t="s">
        <v>16</v>
      </c>
      <c r="E16" t="s">
        <v>97</v>
      </c>
      <c r="F16" s="4" t="s">
        <v>749</v>
      </c>
    </row>
    <row r="18" spans="1:6" x14ac:dyDescent="0.25">
      <c r="A18" t="s">
        <v>10</v>
      </c>
      <c r="B18" t="s">
        <v>115</v>
      </c>
      <c r="C18" t="s">
        <v>118</v>
      </c>
      <c r="D18" s="4" t="s">
        <v>16</v>
      </c>
      <c r="E18" t="s">
        <v>119</v>
      </c>
      <c r="F18" s="4" t="s">
        <v>750</v>
      </c>
    </row>
    <row r="19" spans="1:6" x14ac:dyDescent="0.25">
      <c r="A19" t="s">
        <v>10</v>
      </c>
      <c r="B19" t="s">
        <v>115</v>
      </c>
      <c r="C19" t="s">
        <v>122</v>
      </c>
      <c r="D19" s="4" t="s">
        <v>16</v>
      </c>
      <c r="E19" t="s">
        <v>123</v>
      </c>
      <c r="F19" s="4" t="s">
        <v>749</v>
      </c>
    </row>
    <row r="20" spans="1:6" x14ac:dyDescent="0.25">
      <c r="A20" t="s">
        <v>10</v>
      </c>
      <c r="B20" t="s">
        <v>115</v>
      </c>
      <c r="C20" t="s">
        <v>127</v>
      </c>
      <c r="D20" s="4" t="s">
        <v>16</v>
      </c>
      <c r="E20" t="s">
        <v>21</v>
      </c>
      <c r="F20" s="4" t="s">
        <v>749</v>
      </c>
    </row>
    <row r="21" spans="1:6" x14ac:dyDescent="0.25">
      <c r="A21" t="s">
        <v>10</v>
      </c>
      <c r="B21" t="s">
        <v>115</v>
      </c>
      <c r="C21" t="s">
        <v>130</v>
      </c>
      <c r="D21" s="4" t="s">
        <v>16</v>
      </c>
      <c r="E21" t="s">
        <v>131</v>
      </c>
      <c r="F21" s="4" t="s">
        <v>749</v>
      </c>
    </row>
    <row r="22" spans="1:6" x14ac:dyDescent="0.25">
      <c r="A22" t="s">
        <v>10</v>
      </c>
      <c r="B22" t="s">
        <v>115</v>
      </c>
      <c r="C22" t="s">
        <v>141</v>
      </c>
      <c r="D22" s="4" t="s">
        <v>16</v>
      </c>
      <c r="E22" t="s">
        <v>142</v>
      </c>
      <c r="F22" s="4" t="s">
        <v>749</v>
      </c>
    </row>
    <row r="23" spans="1:6" x14ac:dyDescent="0.25">
      <c r="A23" t="s">
        <v>10</v>
      </c>
      <c r="B23" t="s">
        <v>115</v>
      </c>
      <c r="C23" t="s">
        <v>152</v>
      </c>
      <c r="D23" s="4" t="s">
        <v>16</v>
      </c>
      <c r="E23" t="s">
        <v>47</v>
      </c>
      <c r="F23" s="4" t="s">
        <v>749</v>
      </c>
    </row>
    <row r="24" spans="1:6" x14ac:dyDescent="0.25">
      <c r="A24" t="s">
        <v>10</v>
      </c>
      <c r="B24" t="s">
        <v>115</v>
      </c>
      <c r="C24" t="s">
        <v>149</v>
      </c>
      <c r="D24" s="4" t="s">
        <v>16</v>
      </c>
      <c r="E24" t="s">
        <v>56</v>
      </c>
      <c r="F24" s="4" t="s">
        <v>749</v>
      </c>
    </row>
    <row r="25" spans="1:6" x14ac:dyDescent="0.25">
      <c r="A25" t="s">
        <v>10</v>
      </c>
      <c r="B25" t="s">
        <v>115</v>
      </c>
      <c r="C25" t="s">
        <v>158</v>
      </c>
      <c r="D25" s="4" t="s">
        <v>16</v>
      </c>
      <c r="E25" t="s">
        <v>159</v>
      </c>
      <c r="F25" s="4" t="s">
        <v>749</v>
      </c>
    </row>
    <row r="26" spans="1:6" x14ac:dyDescent="0.25">
      <c r="A26" t="s">
        <v>10</v>
      </c>
      <c r="B26" t="s">
        <v>115</v>
      </c>
      <c r="C26" t="s">
        <v>162</v>
      </c>
      <c r="D26" s="4" t="s">
        <v>16</v>
      </c>
      <c r="E26" t="s">
        <v>163</v>
      </c>
      <c r="F26" s="4" t="s">
        <v>750</v>
      </c>
    </row>
    <row r="27" spans="1:6" x14ac:dyDescent="0.25">
      <c r="A27" t="s">
        <v>10</v>
      </c>
      <c r="B27" t="s">
        <v>115</v>
      </c>
      <c r="C27" t="s">
        <v>166</v>
      </c>
      <c r="D27" s="4" t="s">
        <v>16</v>
      </c>
      <c r="E27" t="s">
        <v>167</v>
      </c>
      <c r="F27" s="4" t="s">
        <v>750</v>
      </c>
    </row>
    <row r="29" spans="1:6" x14ac:dyDescent="0.25">
      <c r="A29" t="s">
        <v>10</v>
      </c>
      <c r="B29" t="s">
        <v>172</v>
      </c>
      <c r="C29" t="s">
        <v>755</v>
      </c>
      <c r="D29" s="4" t="s">
        <v>16</v>
      </c>
      <c r="E29" t="s">
        <v>174</v>
      </c>
      <c r="F29" s="4" t="s">
        <v>749</v>
      </c>
    </row>
    <row r="30" spans="1:6" x14ac:dyDescent="0.25">
      <c r="A30" t="s">
        <v>10</v>
      </c>
      <c r="B30" t="s">
        <v>172</v>
      </c>
      <c r="C30" t="s">
        <v>760</v>
      </c>
      <c r="D30" s="4" t="s">
        <v>16</v>
      </c>
      <c r="E30" t="s">
        <v>175</v>
      </c>
      <c r="F30" s="4" t="s">
        <v>749</v>
      </c>
    </row>
    <row r="31" spans="1:6" x14ac:dyDescent="0.25">
      <c r="A31" t="s">
        <v>10</v>
      </c>
      <c r="B31" t="s">
        <v>172</v>
      </c>
      <c r="C31" t="s">
        <v>766</v>
      </c>
      <c r="D31" s="4" t="s">
        <v>16</v>
      </c>
      <c r="E31" t="s">
        <v>33</v>
      </c>
      <c r="F31" s="4" t="s">
        <v>749</v>
      </c>
    </row>
    <row r="32" spans="1:6" x14ac:dyDescent="0.25">
      <c r="A32" t="s">
        <v>10</v>
      </c>
      <c r="B32" t="s">
        <v>172</v>
      </c>
      <c r="C32" t="s">
        <v>772</v>
      </c>
      <c r="D32" s="4" t="s">
        <v>16</v>
      </c>
      <c r="E32" t="s">
        <v>176</v>
      </c>
      <c r="F32" s="4" t="s">
        <v>749</v>
      </c>
    </row>
    <row r="33" spans="1:9" x14ac:dyDescent="0.25">
      <c r="A33" t="s">
        <v>10</v>
      </c>
      <c r="B33" t="s">
        <v>172</v>
      </c>
      <c r="C33" t="s">
        <v>777</v>
      </c>
      <c r="D33" s="4" t="s">
        <v>16</v>
      </c>
      <c r="E33" t="s">
        <v>47</v>
      </c>
      <c r="F33" s="4" t="s">
        <v>749</v>
      </c>
    </row>
    <row r="34" spans="1:9" x14ac:dyDescent="0.25">
      <c r="A34" t="s">
        <v>10</v>
      </c>
      <c r="B34" t="s">
        <v>172</v>
      </c>
      <c r="C34" t="s">
        <v>783</v>
      </c>
      <c r="D34" s="4" t="s">
        <v>16</v>
      </c>
      <c r="E34" t="s">
        <v>56</v>
      </c>
      <c r="F34" s="4" t="s">
        <v>749</v>
      </c>
    </row>
    <row r="35" spans="1:9" x14ac:dyDescent="0.25">
      <c r="A35" t="s">
        <v>10</v>
      </c>
      <c r="B35" t="s">
        <v>172</v>
      </c>
      <c r="C35" t="s">
        <v>785</v>
      </c>
      <c r="D35" s="4" t="s">
        <v>16</v>
      </c>
      <c r="E35" t="s">
        <v>159</v>
      </c>
      <c r="F35" s="4" t="s">
        <v>749</v>
      </c>
      <c r="I35" t="s">
        <v>748</v>
      </c>
    </row>
    <row r="37" spans="1:9" x14ac:dyDescent="0.25">
      <c r="A37" t="s">
        <v>181</v>
      </c>
      <c r="B37" t="s">
        <v>11</v>
      </c>
      <c r="C37" t="s">
        <v>185</v>
      </c>
      <c r="D37" s="4" t="s">
        <v>16</v>
      </c>
      <c r="E37" t="s">
        <v>186</v>
      </c>
      <c r="F37" s="4" t="s">
        <v>752</v>
      </c>
    </row>
    <row r="38" spans="1:9" x14ac:dyDescent="0.25">
      <c r="A38" t="s">
        <v>181</v>
      </c>
      <c r="B38" t="s">
        <v>11</v>
      </c>
      <c r="C38" t="s">
        <v>192</v>
      </c>
      <c r="D38" s="4" t="s">
        <v>16</v>
      </c>
      <c r="E38" t="s">
        <v>193</v>
      </c>
      <c r="F38" s="4" t="s">
        <v>752</v>
      </c>
    </row>
    <row r="39" spans="1:9" x14ac:dyDescent="0.25">
      <c r="A39" t="s">
        <v>181</v>
      </c>
      <c r="B39" t="s">
        <v>11</v>
      </c>
      <c r="C39" t="s">
        <v>200</v>
      </c>
      <c r="D39" s="4" t="s">
        <v>16</v>
      </c>
      <c r="E39" t="s">
        <v>201</v>
      </c>
      <c r="F39" s="4" t="s">
        <v>752</v>
      </c>
    </row>
    <row r="40" spans="1:9" x14ac:dyDescent="0.25">
      <c r="A40" t="s">
        <v>181</v>
      </c>
      <c r="B40" t="s">
        <v>11</v>
      </c>
      <c r="C40" t="s">
        <v>204</v>
      </c>
      <c r="D40" s="4" t="s">
        <v>16</v>
      </c>
      <c r="E40" t="s">
        <v>205</v>
      </c>
      <c r="F40" s="4" t="s">
        <v>752</v>
      </c>
    </row>
    <row r="41" spans="1:9" x14ac:dyDescent="0.25">
      <c r="A41" t="s">
        <v>181</v>
      </c>
      <c r="B41" t="s">
        <v>11</v>
      </c>
      <c r="C41" t="s">
        <v>211</v>
      </c>
      <c r="D41" s="4" t="s">
        <v>16</v>
      </c>
      <c r="E41" t="s">
        <v>212</v>
      </c>
      <c r="F41" s="4" t="s">
        <v>752</v>
      </c>
    </row>
    <row r="42" spans="1:9" x14ac:dyDescent="0.25">
      <c r="A42" t="s">
        <v>181</v>
      </c>
      <c r="B42" t="s">
        <v>11</v>
      </c>
      <c r="C42" t="s">
        <v>219</v>
      </c>
      <c r="D42" s="4" t="s">
        <v>16</v>
      </c>
      <c r="E42" t="s">
        <v>220</v>
      </c>
      <c r="F42" s="4" t="s">
        <v>752</v>
      </c>
      <c r="G42" t="s">
        <v>748</v>
      </c>
    </row>
    <row r="43" spans="1:9" x14ac:dyDescent="0.25">
      <c r="A43" t="s">
        <v>181</v>
      </c>
      <c r="B43" t="s">
        <v>11</v>
      </c>
      <c r="C43" t="s">
        <v>215</v>
      </c>
      <c r="D43" s="4" t="s">
        <v>16</v>
      </c>
      <c r="E43" t="s">
        <v>216</v>
      </c>
      <c r="F43" s="4" t="s">
        <v>752</v>
      </c>
    </row>
    <row r="44" spans="1:9" x14ac:dyDescent="0.25">
      <c r="A44" t="s">
        <v>181</v>
      </c>
      <c r="B44" t="s">
        <v>11</v>
      </c>
      <c r="C44" t="s">
        <v>223</v>
      </c>
      <c r="D44" s="4" t="s">
        <v>16</v>
      </c>
      <c r="E44" t="s">
        <v>224</v>
      </c>
      <c r="F44" s="4" t="s">
        <v>752</v>
      </c>
    </row>
    <row r="45" spans="1:9" x14ac:dyDescent="0.25">
      <c r="A45" t="s">
        <v>181</v>
      </c>
      <c r="B45" t="s">
        <v>11</v>
      </c>
      <c r="C45" t="s">
        <v>232</v>
      </c>
      <c r="D45" s="4" t="s">
        <v>16</v>
      </c>
      <c r="E45" t="s">
        <v>233</v>
      </c>
      <c r="F45" s="4" t="s">
        <v>752</v>
      </c>
    </row>
    <row r="46" spans="1:9" x14ac:dyDescent="0.25">
      <c r="C46" t="s">
        <v>748</v>
      </c>
    </row>
    <row r="47" spans="1:9" x14ac:dyDescent="0.25">
      <c r="A47" t="s">
        <v>181</v>
      </c>
      <c r="B47" t="s">
        <v>65</v>
      </c>
      <c r="C47" t="s">
        <v>242</v>
      </c>
      <c r="D47" s="4" t="s">
        <v>16</v>
      </c>
      <c r="E47" t="s">
        <v>243</v>
      </c>
      <c r="F47" s="4" t="s">
        <v>749</v>
      </c>
    </row>
    <row r="48" spans="1:9" x14ac:dyDescent="0.25">
      <c r="A48" t="s">
        <v>181</v>
      </c>
      <c r="B48" t="s">
        <v>65</v>
      </c>
      <c r="C48" t="s">
        <v>249</v>
      </c>
      <c r="D48" s="4" t="s">
        <v>16</v>
      </c>
      <c r="E48" t="s">
        <v>193</v>
      </c>
      <c r="F48" s="4" t="s">
        <v>749</v>
      </c>
    </row>
    <row r="49" spans="1:8" x14ac:dyDescent="0.25">
      <c r="A49" t="s">
        <v>181</v>
      </c>
      <c r="B49" t="s">
        <v>65</v>
      </c>
      <c r="C49" t="s">
        <v>252</v>
      </c>
      <c r="D49" s="4" t="s">
        <v>16</v>
      </c>
      <c r="E49" t="s">
        <v>253</v>
      </c>
      <c r="F49" s="4" t="s">
        <v>749</v>
      </c>
    </row>
    <row r="50" spans="1:8" x14ac:dyDescent="0.25">
      <c r="A50" t="s">
        <v>181</v>
      </c>
      <c r="B50" t="s">
        <v>65</v>
      </c>
      <c r="C50" t="s">
        <v>260</v>
      </c>
      <c r="D50" s="4" t="s">
        <v>16</v>
      </c>
      <c r="E50" t="s">
        <v>261</v>
      </c>
      <c r="F50" s="4" t="s">
        <v>749</v>
      </c>
    </row>
    <row r="51" spans="1:8" x14ac:dyDescent="0.25">
      <c r="A51" t="s">
        <v>181</v>
      </c>
      <c r="B51" t="s">
        <v>65</v>
      </c>
      <c r="C51" t="s">
        <v>271</v>
      </c>
      <c r="D51" s="4" t="s">
        <v>16</v>
      </c>
      <c r="E51" t="s">
        <v>272</v>
      </c>
      <c r="F51" s="4" t="s">
        <v>749</v>
      </c>
    </row>
    <row r="52" spans="1:8" x14ac:dyDescent="0.25">
      <c r="A52" t="s">
        <v>181</v>
      </c>
      <c r="B52" t="s">
        <v>65</v>
      </c>
      <c r="C52" t="s">
        <v>267</v>
      </c>
      <c r="D52" s="4" t="s">
        <v>16</v>
      </c>
      <c r="E52" t="s">
        <v>268</v>
      </c>
      <c r="F52" s="4" t="s">
        <v>749</v>
      </c>
    </row>
    <row r="53" spans="1:8" x14ac:dyDescent="0.25">
      <c r="A53" t="s">
        <v>181</v>
      </c>
      <c r="B53" t="s">
        <v>65</v>
      </c>
      <c r="C53" t="s">
        <v>279</v>
      </c>
      <c r="D53" s="4" t="s">
        <v>16</v>
      </c>
      <c r="E53" t="s">
        <v>280</v>
      </c>
      <c r="F53" s="4" t="s">
        <v>749</v>
      </c>
    </row>
    <row r="54" spans="1:8" x14ac:dyDescent="0.25">
      <c r="A54" t="s">
        <v>181</v>
      </c>
      <c r="B54" t="s">
        <v>65</v>
      </c>
      <c r="C54" t="s">
        <v>275</v>
      </c>
      <c r="D54" s="4" t="s">
        <v>16</v>
      </c>
      <c r="E54" t="s">
        <v>276</v>
      </c>
      <c r="F54" s="4" t="s">
        <v>749</v>
      </c>
    </row>
    <row r="55" spans="1:8" x14ac:dyDescent="0.25">
      <c r="A55" t="s">
        <v>181</v>
      </c>
      <c r="B55" t="s">
        <v>65</v>
      </c>
      <c r="C55" t="s">
        <v>288</v>
      </c>
      <c r="D55" s="4" t="s">
        <v>16</v>
      </c>
      <c r="E55" t="s">
        <v>289</v>
      </c>
      <c r="F55" s="4" t="s">
        <v>749</v>
      </c>
    </row>
    <row r="57" spans="1:8" x14ac:dyDescent="0.25">
      <c r="A57" t="s">
        <v>181</v>
      </c>
      <c r="B57" t="s">
        <v>115</v>
      </c>
      <c r="C57" t="s">
        <v>297</v>
      </c>
      <c r="D57" s="4" t="s">
        <v>16</v>
      </c>
      <c r="E57" t="s">
        <v>298</v>
      </c>
      <c r="F57" s="4" t="s">
        <v>750</v>
      </c>
    </row>
    <row r="58" spans="1:8" x14ac:dyDescent="0.25">
      <c r="A58" t="s">
        <v>181</v>
      </c>
      <c r="B58" t="s">
        <v>115</v>
      </c>
      <c r="C58" t="s">
        <v>312</v>
      </c>
      <c r="D58" s="4" t="s">
        <v>16</v>
      </c>
      <c r="E58" t="s">
        <v>193</v>
      </c>
      <c r="F58" s="4" t="s">
        <v>749</v>
      </c>
    </row>
    <row r="59" spans="1:8" x14ac:dyDescent="0.25">
      <c r="A59" t="s">
        <v>181</v>
      </c>
      <c r="B59" t="s">
        <v>115</v>
      </c>
      <c r="C59" t="s">
        <v>308</v>
      </c>
      <c r="D59" s="4" t="s">
        <v>16</v>
      </c>
      <c r="E59" t="s">
        <v>309</v>
      </c>
      <c r="F59" s="4" t="s">
        <v>749</v>
      </c>
      <c r="H59" s="4" t="s">
        <v>748</v>
      </c>
    </row>
    <row r="60" spans="1:8" x14ac:dyDescent="0.25">
      <c r="A60" t="s">
        <v>181</v>
      </c>
      <c r="B60" t="s">
        <v>115</v>
      </c>
      <c r="C60" t="s">
        <v>318</v>
      </c>
      <c r="D60" s="4" t="s">
        <v>16</v>
      </c>
      <c r="E60" t="s">
        <v>319</v>
      </c>
      <c r="F60" s="4" t="s">
        <v>750</v>
      </c>
    </row>
    <row r="61" spans="1:8" x14ac:dyDescent="0.25">
      <c r="A61" t="s">
        <v>181</v>
      </c>
      <c r="B61" t="s">
        <v>115</v>
      </c>
      <c r="C61" t="s">
        <v>334</v>
      </c>
      <c r="D61" s="4" t="s">
        <v>16</v>
      </c>
      <c r="E61" t="s">
        <v>335</v>
      </c>
      <c r="F61" s="4" t="s">
        <v>749</v>
      </c>
    </row>
    <row r="62" spans="1:8" x14ac:dyDescent="0.25">
      <c r="A62" t="s">
        <v>181</v>
      </c>
      <c r="B62" t="s">
        <v>115</v>
      </c>
      <c r="C62" t="s">
        <v>338</v>
      </c>
      <c r="D62" s="4" t="s">
        <v>16</v>
      </c>
      <c r="E62" t="s">
        <v>339</v>
      </c>
      <c r="F62" s="4" t="s">
        <v>749</v>
      </c>
    </row>
    <row r="63" spans="1:8" x14ac:dyDescent="0.25">
      <c r="A63" t="s">
        <v>181</v>
      </c>
      <c r="B63" t="s">
        <v>115</v>
      </c>
      <c r="C63" t="s">
        <v>330</v>
      </c>
      <c r="D63" s="4" t="s">
        <v>16</v>
      </c>
      <c r="E63" t="s">
        <v>331</v>
      </c>
      <c r="F63" s="4" t="s">
        <v>749</v>
      </c>
    </row>
    <row r="64" spans="1:8" x14ac:dyDescent="0.25">
      <c r="A64" t="s">
        <v>181</v>
      </c>
      <c r="B64" t="s">
        <v>115</v>
      </c>
      <c r="C64" t="s">
        <v>347</v>
      </c>
      <c r="D64" s="4" t="s">
        <v>16</v>
      </c>
      <c r="E64" t="s">
        <v>348</v>
      </c>
      <c r="F64" s="4" t="s">
        <v>749</v>
      </c>
    </row>
    <row r="65" spans="1:7" x14ac:dyDescent="0.25">
      <c r="A65" t="s">
        <v>181</v>
      </c>
      <c r="B65" t="s">
        <v>11</v>
      </c>
      <c r="C65" t="s">
        <v>204</v>
      </c>
      <c r="D65" s="4" t="s">
        <v>16</v>
      </c>
      <c r="E65" t="s">
        <v>205</v>
      </c>
      <c r="F65" s="4" t="s">
        <v>751</v>
      </c>
    </row>
    <row r="66" spans="1:7" x14ac:dyDescent="0.25">
      <c r="A66" t="s">
        <v>181</v>
      </c>
      <c r="B66" t="s">
        <v>11</v>
      </c>
      <c r="C66" t="s">
        <v>211</v>
      </c>
      <c r="D66" s="4" t="s">
        <v>16</v>
      </c>
      <c r="E66" t="s">
        <v>212</v>
      </c>
      <c r="F66" s="4" t="s">
        <v>751</v>
      </c>
      <c r="G66" t="s">
        <v>748</v>
      </c>
    </row>
    <row r="68" spans="1:7" x14ac:dyDescent="0.25">
      <c r="A68" t="s">
        <v>181</v>
      </c>
      <c r="B68" t="s">
        <v>172</v>
      </c>
      <c r="C68" t="s">
        <v>356</v>
      </c>
      <c r="D68" s="4" t="s">
        <v>16</v>
      </c>
      <c r="E68" t="s">
        <v>357</v>
      </c>
      <c r="F68" s="4" t="s">
        <v>749</v>
      </c>
    </row>
    <row r="69" spans="1:7" x14ac:dyDescent="0.25">
      <c r="A69" t="s">
        <v>181</v>
      </c>
      <c r="B69" t="s">
        <v>172</v>
      </c>
      <c r="C69" t="s">
        <v>363</v>
      </c>
      <c r="D69" s="4" t="s">
        <v>16</v>
      </c>
      <c r="E69" t="s">
        <v>364</v>
      </c>
      <c r="F69" s="4" t="s">
        <v>749</v>
      </c>
    </row>
    <row r="70" spans="1:7" x14ac:dyDescent="0.25">
      <c r="A70" t="s">
        <v>181</v>
      </c>
      <c r="B70" t="s">
        <v>172</v>
      </c>
      <c r="C70" t="s">
        <v>366</v>
      </c>
      <c r="D70" s="4" t="s">
        <v>16</v>
      </c>
      <c r="E70" t="s">
        <v>205</v>
      </c>
      <c r="F70" s="4" t="s">
        <v>749</v>
      </c>
    </row>
    <row r="71" spans="1:7" x14ac:dyDescent="0.25">
      <c r="A71" t="s">
        <v>181</v>
      </c>
      <c r="B71" t="s">
        <v>172</v>
      </c>
      <c r="C71" t="s">
        <v>369</v>
      </c>
      <c r="D71" s="4" t="s">
        <v>16</v>
      </c>
      <c r="E71" t="s">
        <v>370</v>
      </c>
      <c r="F71" s="4" t="s">
        <v>749</v>
      </c>
    </row>
    <row r="72" spans="1:7" x14ac:dyDescent="0.25">
      <c r="A72" t="s">
        <v>181</v>
      </c>
      <c r="B72" t="s">
        <v>172</v>
      </c>
      <c r="C72" t="s">
        <v>373</v>
      </c>
      <c r="D72" s="4" t="s">
        <v>16</v>
      </c>
      <c r="E72" t="s">
        <v>331</v>
      </c>
      <c r="F72" s="4" t="s">
        <v>749</v>
      </c>
    </row>
    <row r="73" spans="1:7" x14ac:dyDescent="0.25">
      <c r="A73" t="s">
        <v>181</v>
      </c>
      <c r="B73" t="s">
        <v>172</v>
      </c>
      <c r="C73" t="s">
        <v>378</v>
      </c>
      <c r="D73" s="4" t="s">
        <v>16</v>
      </c>
      <c r="E73" t="s">
        <v>379</v>
      </c>
      <c r="F73" s="4" t="s">
        <v>749</v>
      </c>
    </row>
    <row r="74" spans="1:7" x14ac:dyDescent="0.25">
      <c r="A74" t="s">
        <v>181</v>
      </c>
      <c r="B74" t="s">
        <v>172</v>
      </c>
      <c r="C74" t="s">
        <v>385</v>
      </c>
      <c r="D74" s="4" t="s">
        <v>16</v>
      </c>
      <c r="E74" t="s">
        <v>386</v>
      </c>
      <c r="F74" s="4" t="s">
        <v>749</v>
      </c>
    </row>
    <row r="75" spans="1:7" x14ac:dyDescent="0.25">
      <c r="A75" t="s">
        <v>181</v>
      </c>
      <c r="B75" t="s">
        <v>172</v>
      </c>
      <c r="C75" t="s">
        <v>392</v>
      </c>
      <c r="D75" s="4" t="s">
        <v>16</v>
      </c>
      <c r="E75" t="s">
        <v>393</v>
      </c>
      <c r="F75" s="4" t="s">
        <v>749</v>
      </c>
    </row>
    <row r="76" spans="1:7" x14ac:dyDescent="0.25">
      <c r="A76" t="s">
        <v>181</v>
      </c>
      <c r="B76" t="s">
        <v>172</v>
      </c>
      <c r="C76" t="s">
        <v>401</v>
      </c>
      <c r="D76" s="4" t="s">
        <v>16</v>
      </c>
      <c r="E76" t="s">
        <v>402</v>
      </c>
      <c r="F76" s="4" t="s">
        <v>749</v>
      </c>
    </row>
    <row r="78" spans="1:7" x14ac:dyDescent="0.25">
      <c r="A78" t="s">
        <v>408</v>
      </c>
      <c r="B78" t="s">
        <v>11</v>
      </c>
      <c r="C78" t="s">
        <v>411</v>
      </c>
      <c r="D78" t="s">
        <v>16</v>
      </c>
      <c r="E78" t="s">
        <v>186</v>
      </c>
      <c r="F78" s="4" t="s">
        <v>752</v>
      </c>
    </row>
    <row r="79" spans="1:7" x14ac:dyDescent="0.25">
      <c r="A79" t="s">
        <v>408</v>
      </c>
      <c r="B79" t="s">
        <v>11</v>
      </c>
      <c r="C79" t="s">
        <v>417</v>
      </c>
      <c r="D79" t="s">
        <v>16</v>
      </c>
      <c r="E79" t="s">
        <v>418</v>
      </c>
      <c r="F79" s="4" t="s">
        <v>752</v>
      </c>
    </row>
    <row r="80" spans="1:7" x14ac:dyDescent="0.25">
      <c r="A80" t="s">
        <v>408</v>
      </c>
      <c r="B80" t="s">
        <v>11</v>
      </c>
      <c r="C80" t="s">
        <v>425</v>
      </c>
      <c r="D80" t="s">
        <v>16</v>
      </c>
      <c r="E80" t="s">
        <v>426</v>
      </c>
      <c r="F80" s="4" t="s">
        <v>752</v>
      </c>
    </row>
    <row r="81" spans="1:9" x14ac:dyDescent="0.25">
      <c r="A81" t="s">
        <v>408</v>
      </c>
      <c r="B81" t="s">
        <v>11</v>
      </c>
      <c r="C81" t="s">
        <v>433</v>
      </c>
      <c r="D81" t="s">
        <v>16</v>
      </c>
      <c r="E81" t="s">
        <v>434</v>
      </c>
      <c r="F81" s="4" t="s">
        <v>752</v>
      </c>
      <c r="I81" t="s">
        <v>748</v>
      </c>
    </row>
    <row r="82" spans="1:9" x14ac:dyDescent="0.25">
      <c r="A82" t="s">
        <v>408</v>
      </c>
      <c r="B82" t="s">
        <v>11</v>
      </c>
      <c r="C82" t="s">
        <v>429</v>
      </c>
      <c r="D82" t="s">
        <v>16</v>
      </c>
      <c r="E82" t="s">
        <v>430</v>
      </c>
      <c r="F82" s="4" t="s">
        <v>752</v>
      </c>
    </row>
    <row r="83" spans="1:9" x14ac:dyDescent="0.25">
      <c r="A83" t="s">
        <v>408</v>
      </c>
      <c r="B83" t="s">
        <v>11</v>
      </c>
      <c r="C83" t="s">
        <v>437</v>
      </c>
      <c r="D83" t="s">
        <v>16</v>
      </c>
      <c r="E83" t="s">
        <v>438</v>
      </c>
      <c r="F83" s="4" t="s">
        <v>752</v>
      </c>
    </row>
    <row r="84" spans="1:9" x14ac:dyDescent="0.25">
      <c r="A84" t="s">
        <v>408</v>
      </c>
      <c r="B84" t="s">
        <v>11</v>
      </c>
      <c r="C84" t="s">
        <v>450</v>
      </c>
      <c r="D84" t="s">
        <v>16</v>
      </c>
      <c r="E84" t="s">
        <v>201</v>
      </c>
      <c r="F84" s="4" t="s">
        <v>752</v>
      </c>
    </row>
    <row r="85" spans="1:9" x14ac:dyDescent="0.25">
      <c r="A85" t="s">
        <v>408</v>
      </c>
      <c r="B85" t="s">
        <v>11</v>
      </c>
      <c r="C85" t="s">
        <v>446</v>
      </c>
      <c r="D85" t="s">
        <v>16</v>
      </c>
      <c r="E85" t="s">
        <v>447</v>
      </c>
      <c r="F85" s="4" t="s">
        <v>752</v>
      </c>
    </row>
    <row r="86" spans="1:9" x14ac:dyDescent="0.25">
      <c r="A86" t="s">
        <v>408</v>
      </c>
      <c r="B86" t="s">
        <v>11</v>
      </c>
      <c r="C86" t="s">
        <v>456</v>
      </c>
      <c r="D86" t="s">
        <v>16</v>
      </c>
      <c r="E86" t="s">
        <v>205</v>
      </c>
      <c r="F86" s="4" t="s">
        <v>752</v>
      </c>
    </row>
    <row r="87" spans="1:9" x14ac:dyDescent="0.25">
      <c r="A87" t="s">
        <v>408</v>
      </c>
      <c r="B87" t="s">
        <v>11</v>
      </c>
      <c r="C87" t="s">
        <v>464</v>
      </c>
      <c r="D87" t="s">
        <v>16</v>
      </c>
      <c r="E87" t="s">
        <v>212</v>
      </c>
      <c r="F87" s="4" t="s">
        <v>752</v>
      </c>
    </row>
    <row r="88" spans="1:9" x14ac:dyDescent="0.25">
      <c r="A88" t="s">
        <v>408</v>
      </c>
      <c r="B88" t="s">
        <v>11</v>
      </c>
      <c r="C88" t="s">
        <v>470</v>
      </c>
      <c r="D88" t="s">
        <v>16</v>
      </c>
      <c r="E88" t="s">
        <v>220</v>
      </c>
      <c r="F88" s="4" t="s">
        <v>752</v>
      </c>
    </row>
    <row r="89" spans="1:9" x14ac:dyDescent="0.25">
      <c r="A89" t="s">
        <v>408</v>
      </c>
      <c r="B89" t="s">
        <v>11</v>
      </c>
      <c r="C89" t="s">
        <v>467</v>
      </c>
      <c r="D89" t="s">
        <v>16</v>
      </c>
      <c r="E89" t="s">
        <v>216</v>
      </c>
      <c r="F89" s="4" t="s">
        <v>752</v>
      </c>
    </row>
    <row r="90" spans="1:9" x14ac:dyDescent="0.25">
      <c r="A90" t="s">
        <v>408</v>
      </c>
      <c r="B90" t="s">
        <v>11</v>
      </c>
      <c r="C90" t="s">
        <v>473</v>
      </c>
      <c r="D90" t="s">
        <v>16</v>
      </c>
      <c r="E90" t="s">
        <v>224</v>
      </c>
      <c r="F90" s="4" t="s">
        <v>752</v>
      </c>
    </row>
    <row r="91" spans="1:9" x14ac:dyDescent="0.25">
      <c r="A91" t="s">
        <v>408</v>
      </c>
      <c r="B91" t="s">
        <v>11</v>
      </c>
      <c r="C91" t="s">
        <v>481</v>
      </c>
      <c r="D91" t="s">
        <v>16</v>
      </c>
      <c r="E91" t="s">
        <v>233</v>
      </c>
      <c r="F91" s="4" t="s">
        <v>752</v>
      </c>
    </row>
    <row r="92" spans="1:9" x14ac:dyDescent="0.25">
      <c r="D92"/>
    </row>
    <row r="93" spans="1:9" x14ac:dyDescent="0.25">
      <c r="A93" t="s">
        <v>408</v>
      </c>
      <c r="B93" t="s">
        <v>65</v>
      </c>
      <c r="C93" t="s">
        <v>488</v>
      </c>
      <c r="D93" t="s">
        <v>16</v>
      </c>
      <c r="E93" t="s">
        <v>489</v>
      </c>
      <c r="F93" s="4" t="s">
        <v>749</v>
      </c>
    </row>
    <row r="94" spans="1:9" x14ac:dyDescent="0.25">
      <c r="A94" t="s">
        <v>408</v>
      </c>
      <c r="B94" t="s">
        <v>65</v>
      </c>
      <c r="C94" t="s">
        <v>499</v>
      </c>
      <c r="D94" t="s">
        <v>16</v>
      </c>
      <c r="E94" t="s">
        <v>500</v>
      </c>
      <c r="F94" s="4" t="s">
        <v>749</v>
      </c>
    </row>
    <row r="95" spans="1:9" x14ac:dyDescent="0.25">
      <c r="A95" t="s">
        <v>408</v>
      </c>
      <c r="B95" t="s">
        <v>65</v>
      </c>
      <c r="C95" t="s">
        <v>510</v>
      </c>
      <c r="D95" t="s">
        <v>16</v>
      </c>
      <c r="E95" t="s">
        <v>511</v>
      </c>
      <c r="F95" s="4" t="s">
        <v>749</v>
      </c>
    </row>
    <row r="96" spans="1:9" x14ac:dyDescent="0.25">
      <c r="A96" t="s">
        <v>408</v>
      </c>
      <c r="B96" t="s">
        <v>65</v>
      </c>
      <c r="C96" t="s">
        <v>506</v>
      </c>
      <c r="D96" t="s">
        <v>16</v>
      </c>
      <c r="E96" t="s">
        <v>507</v>
      </c>
      <c r="F96" s="4" t="s">
        <v>749</v>
      </c>
    </row>
    <row r="97" spans="1:6" x14ac:dyDescent="0.25">
      <c r="A97" t="s">
        <v>408</v>
      </c>
      <c r="B97" t="s">
        <v>65</v>
      </c>
      <c r="C97" t="s">
        <v>519</v>
      </c>
      <c r="D97" t="s">
        <v>16</v>
      </c>
      <c r="E97" t="s">
        <v>520</v>
      </c>
      <c r="F97" s="4" t="s">
        <v>750</v>
      </c>
    </row>
    <row r="98" spans="1:6" x14ac:dyDescent="0.25">
      <c r="A98" t="s">
        <v>408</v>
      </c>
      <c r="B98" t="s">
        <v>65</v>
      </c>
      <c r="C98" t="s">
        <v>523</v>
      </c>
      <c r="D98" t="s">
        <v>16</v>
      </c>
      <c r="E98" t="s">
        <v>524</v>
      </c>
      <c r="F98" s="4" t="s">
        <v>749</v>
      </c>
    </row>
    <row r="99" spans="1:6" x14ac:dyDescent="0.25">
      <c r="A99" t="s">
        <v>408</v>
      </c>
      <c r="B99" t="s">
        <v>65</v>
      </c>
      <c r="C99" t="s">
        <v>495</v>
      </c>
      <c r="D99" t="s">
        <v>16</v>
      </c>
      <c r="E99" t="s">
        <v>496</v>
      </c>
      <c r="F99" s="4" t="s">
        <v>749</v>
      </c>
    </row>
    <row r="100" spans="1:6" x14ac:dyDescent="0.25">
      <c r="A100" t="s">
        <v>408</v>
      </c>
      <c r="B100" t="s">
        <v>65</v>
      </c>
      <c r="C100" t="s">
        <v>532</v>
      </c>
      <c r="D100" t="s">
        <v>16</v>
      </c>
      <c r="E100" t="s">
        <v>261</v>
      </c>
      <c r="F100" s="4" t="s">
        <v>749</v>
      </c>
    </row>
    <row r="101" spans="1:6" x14ac:dyDescent="0.25">
      <c r="A101" t="s">
        <v>408</v>
      </c>
      <c r="B101" t="s">
        <v>65</v>
      </c>
      <c r="C101" t="s">
        <v>542</v>
      </c>
      <c r="D101" t="s">
        <v>16</v>
      </c>
      <c r="E101" t="s">
        <v>272</v>
      </c>
      <c r="F101" s="4" t="s">
        <v>749</v>
      </c>
    </row>
    <row r="102" spans="1:6" x14ac:dyDescent="0.25">
      <c r="A102" t="s">
        <v>408</v>
      </c>
      <c r="B102" t="s">
        <v>65</v>
      </c>
      <c r="C102" t="s">
        <v>538</v>
      </c>
      <c r="D102" t="s">
        <v>16</v>
      </c>
      <c r="E102" t="s">
        <v>539</v>
      </c>
      <c r="F102" s="4" t="s">
        <v>749</v>
      </c>
    </row>
    <row r="103" spans="1:6" x14ac:dyDescent="0.25">
      <c r="A103" t="s">
        <v>408</v>
      </c>
      <c r="B103" t="s">
        <v>65</v>
      </c>
      <c r="C103" t="s">
        <v>549</v>
      </c>
      <c r="D103" t="s">
        <v>16</v>
      </c>
      <c r="E103" t="s">
        <v>550</v>
      </c>
      <c r="F103" s="4" t="s">
        <v>749</v>
      </c>
    </row>
    <row r="104" spans="1:6" x14ac:dyDescent="0.25">
      <c r="A104" t="s">
        <v>408</v>
      </c>
      <c r="B104" t="s">
        <v>65</v>
      </c>
      <c r="C104" t="s">
        <v>545</v>
      </c>
      <c r="D104" t="s">
        <v>16</v>
      </c>
      <c r="E104" t="s">
        <v>546</v>
      </c>
      <c r="F104" s="4" t="s">
        <v>749</v>
      </c>
    </row>
    <row r="105" spans="1:6" x14ac:dyDescent="0.25">
      <c r="A105" t="s">
        <v>408</v>
      </c>
      <c r="B105" t="s">
        <v>65</v>
      </c>
      <c r="C105" t="s">
        <v>558</v>
      </c>
      <c r="D105" t="s">
        <v>16</v>
      </c>
      <c r="E105" t="s">
        <v>289</v>
      </c>
      <c r="F105" s="4" t="s">
        <v>749</v>
      </c>
    </row>
    <row r="106" spans="1:6" x14ac:dyDescent="0.25">
      <c r="A106" t="s">
        <v>408</v>
      </c>
      <c r="B106" t="s">
        <v>11</v>
      </c>
      <c r="C106" t="s">
        <v>429</v>
      </c>
      <c r="D106" t="s">
        <v>16</v>
      </c>
      <c r="E106" t="s">
        <v>430</v>
      </c>
      <c r="F106" s="4" t="s">
        <v>751</v>
      </c>
    </row>
    <row r="107" spans="1:6" x14ac:dyDescent="0.25">
      <c r="A107" t="s">
        <v>408</v>
      </c>
      <c r="B107" t="s">
        <v>11</v>
      </c>
      <c r="C107" t="s">
        <v>437</v>
      </c>
      <c r="D107" t="s">
        <v>16</v>
      </c>
      <c r="E107" t="s">
        <v>438</v>
      </c>
      <c r="F107" s="4" t="s">
        <v>751</v>
      </c>
    </row>
    <row r="108" spans="1:6" x14ac:dyDescent="0.25">
      <c r="D108"/>
    </row>
    <row r="109" spans="1:6" x14ac:dyDescent="0.25">
      <c r="A109" t="s">
        <v>408</v>
      </c>
      <c r="B109" t="s">
        <v>115</v>
      </c>
      <c r="C109" t="s">
        <v>565</v>
      </c>
      <c r="D109" t="s">
        <v>16</v>
      </c>
      <c r="E109" t="s">
        <v>566</v>
      </c>
      <c r="F109" s="4" t="s">
        <v>750</v>
      </c>
    </row>
    <row r="110" spans="1:6" x14ac:dyDescent="0.25">
      <c r="A110" t="s">
        <v>408</v>
      </c>
      <c r="B110" t="s">
        <v>115</v>
      </c>
      <c r="C110" t="s">
        <v>576</v>
      </c>
      <c r="D110" t="s">
        <v>16</v>
      </c>
      <c r="E110" t="s">
        <v>577</v>
      </c>
      <c r="F110" s="4" t="s">
        <v>749</v>
      </c>
    </row>
    <row r="111" spans="1:6" x14ac:dyDescent="0.25">
      <c r="A111" t="s">
        <v>408</v>
      </c>
      <c r="B111" t="s">
        <v>115</v>
      </c>
      <c r="C111" t="s">
        <v>587</v>
      </c>
      <c r="D111" t="s">
        <v>16</v>
      </c>
      <c r="E111" t="s">
        <v>588</v>
      </c>
      <c r="F111" s="4" t="s">
        <v>749</v>
      </c>
    </row>
    <row r="112" spans="1:6" x14ac:dyDescent="0.25">
      <c r="A112" t="s">
        <v>408</v>
      </c>
      <c r="B112" t="s">
        <v>115</v>
      </c>
      <c r="C112" t="s">
        <v>583</v>
      </c>
      <c r="D112" t="s">
        <v>16</v>
      </c>
      <c r="E112" t="s">
        <v>584</v>
      </c>
      <c r="F112" s="4" t="s">
        <v>749</v>
      </c>
    </row>
    <row r="113" spans="1:6" x14ac:dyDescent="0.25">
      <c r="A113" t="s">
        <v>408</v>
      </c>
      <c r="B113" t="s">
        <v>115</v>
      </c>
      <c r="C113" t="s">
        <v>596</v>
      </c>
      <c r="D113" t="s">
        <v>16</v>
      </c>
      <c r="E113" t="s">
        <v>597</v>
      </c>
      <c r="F113" s="4" t="s">
        <v>750</v>
      </c>
    </row>
    <row r="114" spans="1:6" x14ac:dyDescent="0.25">
      <c r="A114" t="s">
        <v>408</v>
      </c>
      <c r="B114" t="s">
        <v>115</v>
      </c>
      <c r="C114" t="s">
        <v>600</v>
      </c>
      <c r="D114" t="s">
        <v>16</v>
      </c>
      <c r="E114" t="s">
        <v>447</v>
      </c>
      <c r="F114" s="4" t="s">
        <v>749</v>
      </c>
    </row>
    <row r="115" spans="1:6" x14ac:dyDescent="0.25">
      <c r="A115" t="s">
        <v>408</v>
      </c>
      <c r="B115" t="s">
        <v>115</v>
      </c>
      <c r="C115" t="s">
        <v>572</v>
      </c>
      <c r="D115" t="s">
        <v>16</v>
      </c>
      <c r="E115" t="s">
        <v>573</v>
      </c>
      <c r="F115" s="4" t="s">
        <v>749</v>
      </c>
    </row>
    <row r="116" spans="1:6" x14ac:dyDescent="0.25">
      <c r="A116" t="s">
        <v>408</v>
      </c>
      <c r="B116" t="s">
        <v>115</v>
      </c>
      <c r="C116" t="s">
        <v>609</v>
      </c>
      <c r="D116" t="s">
        <v>16</v>
      </c>
      <c r="E116" t="s">
        <v>205</v>
      </c>
      <c r="F116" s="4" t="s">
        <v>749</v>
      </c>
    </row>
    <row r="117" spans="1:6" x14ac:dyDescent="0.25">
      <c r="A117" t="s">
        <v>408</v>
      </c>
      <c r="B117" t="s">
        <v>115</v>
      </c>
      <c r="C117" t="s">
        <v>614</v>
      </c>
      <c r="D117" t="s">
        <v>16</v>
      </c>
      <c r="E117" t="s">
        <v>615</v>
      </c>
      <c r="F117" s="4" t="s">
        <v>749</v>
      </c>
    </row>
    <row r="118" spans="1:6" x14ac:dyDescent="0.25">
      <c r="A118" t="s">
        <v>408</v>
      </c>
      <c r="B118" t="s">
        <v>115</v>
      </c>
      <c r="C118" t="s">
        <v>630</v>
      </c>
      <c r="D118" t="s">
        <v>16</v>
      </c>
      <c r="E118" t="s">
        <v>631</v>
      </c>
      <c r="F118" s="4" t="s">
        <v>750</v>
      </c>
    </row>
    <row r="119" spans="1:6" x14ac:dyDescent="0.25">
      <c r="A119" t="s">
        <v>408</v>
      </c>
      <c r="B119" t="s">
        <v>115</v>
      </c>
      <c r="C119" t="s">
        <v>637</v>
      </c>
      <c r="D119" t="s">
        <v>16</v>
      </c>
      <c r="E119" t="s">
        <v>638</v>
      </c>
      <c r="F119" s="4" t="s">
        <v>750</v>
      </c>
    </row>
    <row r="120" spans="1:6" x14ac:dyDescent="0.25">
      <c r="A120" t="s">
        <v>408</v>
      </c>
      <c r="B120" t="s">
        <v>115</v>
      </c>
      <c r="C120" t="s">
        <v>627</v>
      </c>
      <c r="D120" t="s">
        <v>16</v>
      </c>
      <c r="E120" t="s">
        <v>224</v>
      </c>
      <c r="F120" s="4" t="s">
        <v>749</v>
      </c>
    </row>
    <row r="121" spans="1:6" x14ac:dyDescent="0.25">
      <c r="A121" t="s">
        <v>408</v>
      </c>
      <c r="B121" t="s">
        <v>115</v>
      </c>
      <c r="C121" t="s">
        <v>644</v>
      </c>
      <c r="D121" t="s">
        <v>16</v>
      </c>
      <c r="E121" t="s">
        <v>645</v>
      </c>
      <c r="F121" s="4" t="s">
        <v>749</v>
      </c>
    </row>
    <row r="122" spans="1:6" x14ac:dyDescent="0.25">
      <c r="A122" t="s">
        <v>408</v>
      </c>
      <c r="B122" t="s">
        <v>115</v>
      </c>
      <c r="C122" t="s">
        <v>648</v>
      </c>
      <c r="D122" t="s">
        <v>16</v>
      </c>
      <c r="E122" t="s">
        <v>649</v>
      </c>
      <c r="F122" s="4" t="s">
        <v>749</v>
      </c>
    </row>
    <row r="123" spans="1:6" x14ac:dyDescent="0.25">
      <c r="A123" t="s">
        <v>408</v>
      </c>
      <c r="B123" t="s">
        <v>115</v>
      </c>
      <c r="C123" t="s">
        <v>652</v>
      </c>
      <c r="D123" t="s">
        <v>16</v>
      </c>
      <c r="E123" t="s">
        <v>653</v>
      </c>
      <c r="F123" s="4" t="s">
        <v>750</v>
      </c>
    </row>
    <row r="124" spans="1:6" x14ac:dyDescent="0.25">
      <c r="A124" t="s">
        <v>408</v>
      </c>
      <c r="B124" t="s">
        <v>11</v>
      </c>
      <c r="C124" t="s">
        <v>411</v>
      </c>
      <c r="D124" t="s">
        <v>16</v>
      </c>
      <c r="E124" t="s">
        <v>186</v>
      </c>
      <c r="F124" s="4" t="s">
        <v>751</v>
      </c>
    </row>
    <row r="125" spans="1:6" x14ac:dyDescent="0.25">
      <c r="A125" t="s">
        <v>408</v>
      </c>
      <c r="B125" t="s">
        <v>11</v>
      </c>
      <c r="C125" t="s">
        <v>429</v>
      </c>
      <c r="D125" t="s">
        <v>16</v>
      </c>
      <c r="E125" t="s">
        <v>430</v>
      </c>
      <c r="F125" s="4" t="s">
        <v>751</v>
      </c>
    </row>
    <row r="126" spans="1:6" x14ac:dyDescent="0.25">
      <c r="A126" t="s">
        <v>408</v>
      </c>
      <c r="B126" t="s">
        <v>11</v>
      </c>
      <c r="C126" t="s">
        <v>437</v>
      </c>
      <c r="D126" t="s">
        <v>16</v>
      </c>
      <c r="E126" t="s">
        <v>438</v>
      </c>
      <c r="F126" s="4" t="s">
        <v>751</v>
      </c>
    </row>
    <row r="127" spans="1:6" x14ac:dyDescent="0.25">
      <c r="A127" t="s">
        <v>408</v>
      </c>
      <c r="B127" t="s">
        <v>11</v>
      </c>
      <c r="C127" t="s">
        <v>481</v>
      </c>
      <c r="D127" t="s">
        <v>16</v>
      </c>
      <c r="E127" t="s">
        <v>233</v>
      </c>
      <c r="F127" s="4" t="s">
        <v>751</v>
      </c>
    </row>
    <row r="128" spans="1:6" x14ac:dyDescent="0.25">
      <c r="D128"/>
    </row>
    <row r="129" spans="1:9" x14ac:dyDescent="0.25">
      <c r="A129" t="s">
        <v>408</v>
      </c>
      <c r="B129" t="s">
        <v>172</v>
      </c>
      <c r="C129" t="s">
        <v>662</v>
      </c>
      <c r="D129" t="s">
        <v>16</v>
      </c>
      <c r="E129" t="s">
        <v>663</v>
      </c>
      <c r="F129" s="4" t="s">
        <v>750</v>
      </c>
    </row>
    <row r="130" spans="1:9" x14ac:dyDescent="0.25">
      <c r="A130" t="s">
        <v>408</v>
      </c>
      <c r="B130" t="s">
        <v>172</v>
      </c>
      <c r="C130" t="s">
        <v>666</v>
      </c>
      <c r="D130" t="s">
        <v>16</v>
      </c>
      <c r="E130" t="s">
        <v>667</v>
      </c>
      <c r="F130" s="4" t="s">
        <v>749</v>
      </c>
    </row>
    <row r="131" spans="1:9" x14ac:dyDescent="0.25">
      <c r="A131" t="s">
        <v>408</v>
      </c>
      <c r="B131" t="s">
        <v>172</v>
      </c>
      <c r="C131" t="s">
        <v>672</v>
      </c>
      <c r="D131" t="s">
        <v>16</v>
      </c>
      <c r="E131" t="s">
        <v>201</v>
      </c>
      <c r="F131" s="4" t="s">
        <v>749</v>
      </c>
    </row>
    <row r="132" spans="1:9" x14ac:dyDescent="0.25">
      <c r="A132" t="s">
        <v>408</v>
      </c>
      <c r="B132" t="s">
        <v>172</v>
      </c>
      <c r="C132" t="s">
        <v>674</v>
      </c>
      <c r="D132" t="s">
        <v>16</v>
      </c>
      <c r="E132" t="s">
        <v>675</v>
      </c>
      <c r="F132" s="4" t="s">
        <v>749</v>
      </c>
    </row>
    <row r="133" spans="1:9" x14ac:dyDescent="0.25">
      <c r="A133" t="s">
        <v>408</v>
      </c>
      <c r="B133" t="s">
        <v>172</v>
      </c>
      <c r="C133" t="s">
        <v>682</v>
      </c>
      <c r="D133" t="s">
        <v>16</v>
      </c>
      <c r="E133" t="s">
        <v>683</v>
      </c>
      <c r="F133" s="4" t="s">
        <v>749</v>
      </c>
    </row>
    <row r="134" spans="1:9" x14ac:dyDescent="0.25">
      <c r="A134" t="s">
        <v>408</v>
      </c>
      <c r="B134" t="s">
        <v>172</v>
      </c>
      <c r="C134" t="s">
        <v>688</v>
      </c>
      <c r="D134" t="s">
        <v>16</v>
      </c>
      <c r="E134" t="s">
        <v>689</v>
      </c>
      <c r="F134" s="4" t="s">
        <v>750</v>
      </c>
    </row>
    <row r="135" spans="1:9" x14ac:dyDescent="0.25">
      <c r="A135" t="s">
        <v>408</v>
      </c>
      <c r="B135" t="s">
        <v>172</v>
      </c>
      <c r="C135" t="s">
        <v>691</v>
      </c>
      <c r="D135" t="s">
        <v>16</v>
      </c>
      <c r="E135" t="s">
        <v>692</v>
      </c>
      <c r="F135" s="4" t="s">
        <v>750</v>
      </c>
    </row>
    <row r="136" spans="1:9" x14ac:dyDescent="0.25">
      <c r="A136" t="s">
        <v>408</v>
      </c>
      <c r="B136" t="s">
        <v>172</v>
      </c>
      <c r="C136" t="s">
        <v>695</v>
      </c>
      <c r="D136" t="s">
        <v>16</v>
      </c>
      <c r="E136" t="s">
        <v>447</v>
      </c>
      <c r="F136" s="4" t="s">
        <v>749</v>
      </c>
    </row>
    <row r="137" spans="1:9" x14ac:dyDescent="0.25">
      <c r="A137" t="s">
        <v>408</v>
      </c>
      <c r="B137" t="s">
        <v>172</v>
      </c>
      <c r="C137" t="s">
        <v>698</v>
      </c>
      <c r="D137" t="s">
        <v>16</v>
      </c>
      <c r="E137" t="s">
        <v>699</v>
      </c>
      <c r="F137" s="4" t="s">
        <v>750</v>
      </c>
      <c r="I137" t="s">
        <v>748</v>
      </c>
    </row>
    <row r="138" spans="1:9" x14ac:dyDescent="0.25">
      <c r="A138" t="s">
        <v>408</v>
      </c>
      <c r="B138" t="s">
        <v>172</v>
      </c>
      <c r="C138" t="s">
        <v>710</v>
      </c>
      <c r="D138" t="s">
        <v>16</v>
      </c>
      <c r="E138" t="s">
        <v>370</v>
      </c>
      <c r="F138" s="4" t="s">
        <v>749</v>
      </c>
    </row>
    <row r="139" spans="1:9" x14ac:dyDescent="0.25">
      <c r="A139" t="s">
        <v>408</v>
      </c>
      <c r="B139" t="s">
        <v>172</v>
      </c>
      <c r="C139" t="s">
        <v>715</v>
      </c>
      <c r="D139" t="s">
        <v>16</v>
      </c>
      <c r="E139" t="s">
        <v>331</v>
      </c>
      <c r="F139" s="4" t="s">
        <v>749</v>
      </c>
    </row>
    <row r="140" spans="1:9" x14ac:dyDescent="0.25">
      <c r="A140" t="s">
        <v>408</v>
      </c>
      <c r="B140" t="s">
        <v>172</v>
      </c>
      <c r="C140" t="s">
        <v>721</v>
      </c>
      <c r="D140" t="s">
        <v>16</v>
      </c>
      <c r="E140" t="s">
        <v>722</v>
      </c>
      <c r="F140" s="4" t="s">
        <v>749</v>
      </c>
    </row>
    <row r="141" spans="1:9" x14ac:dyDescent="0.25">
      <c r="A141" t="s">
        <v>408</v>
      </c>
      <c r="B141" t="s">
        <v>172</v>
      </c>
      <c r="C141" t="s">
        <v>724</v>
      </c>
      <c r="D141" t="s">
        <v>16</v>
      </c>
      <c r="E141" t="s">
        <v>725</v>
      </c>
      <c r="F141" s="4" t="s">
        <v>749</v>
      </c>
    </row>
    <row r="142" spans="1:9" x14ac:dyDescent="0.25">
      <c r="A142" t="s">
        <v>408</v>
      </c>
      <c r="B142" t="s">
        <v>172</v>
      </c>
      <c r="C142" t="s">
        <v>732</v>
      </c>
      <c r="D142" t="s">
        <v>16</v>
      </c>
      <c r="E142" t="s">
        <v>233</v>
      </c>
      <c r="F142" s="4" t="s">
        <v>749</v>
      </c>
    </row>
    <row r="143" spans="1:9" x14ac:dyDescent="0.25">
      <c r="A143" t="s">
        <v>408</v>
      </c>
      <c r="B143" t="s">
        <v>11</v>
      </c>
      <c r="C143" t="s">
        <v>425</v>
      </c>
      <c r="D143" t="s">
        <v>16</v>
      </c>
      <c r="E143" t="s">
        <v>426</v>
      </c>
      <c r="F143" s="4" t="s">
        <v>751</v>
      </c>
    </row>
    <row r="144" spans="1:9" x14ac:dyDescent="0.25">
      <c r="A144" t="s">
        <v>408</v>
      </c>
      <c r="B144" t="s">
        <v>11</v>
      </c>
      <c r="C144" t="s">
        <v>433</v>
      </c>
      <c r="D144" t="s">
        <v>16</v>
      </c>
      <c r="E144" t="s">
        <v>434</v>
      </c>
      <c r="F144" s="4" t="s">
        <v>751</v>
      </c>
    </row>
    <row r="145" spans="1:6" x14ac:dyDescent="0.25">
      <c r="A145" t="s">
        <v>408</v>
      </c>
      <c r="B145" t="s">
        <v>11</v>
      </c>
      <c r="C145" t="s">
        <v>429</v>
      </c>
      <c r="D145" t="s">
        <v>16</v>
      </c>
      <c r="E145" t="s">
        <v>430</v>
      </c>
      <c r="F145" s="4" t="s">
        <v>751</v>
      </c>
    </row>
    <row r="146" spans="1:6" x14ac:dyDescent="0.25">
      <c r="A146" t="s">
        <v>408</v>
      </c>
      <c r="B146" t="s">
        <v>11</v>
      </c>
      <c r="C146" t="s">
        <v>437</v>
      </c>
      <c r="D146" t="s">
        <v>16</v>
      </c>
      <c r="E146" t="s">
        <v>438</v>
      </c>
      <c r="F146" s="4" t="s">
        <v>751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4FCA-442B-465B-B4FD-B37DFBE6CC99}">
  <dimension ref="A1:U21"/>
  <sheetViews>
    <sheetView tabSelected="1" topLeftCell="D1" zoomScale="85" zoomScaleNormal="85" workbookViewId="0">
      <selection activeCell="E21" sqref="E21"/>
    </sheetView>
  </sheetViews>
  <sheetFormatPr baseColWidth="10" defaultRowHeight="15" x14ac:dyDescent="0.25"/>
  <cols>
    <col min="1" max="1" width="13.5703125" customWidth="1"/>
    <col min="6" max="6" width="14.7109375" bestFit="1" customWidth="1"/>
    <col min="7" max="7" width="15.85546875" bestFit="1" customWidth="1"/>
    <col min="8" max="8" width="15.42578125" bestFit="1" customWidth="1"/>
    <col min="9" max="9" width="12.85546875" bestFit="1" customWidth="1"/>
    <col min="12" max="12" width="14.7109375" bestFit="1" customWidth="1"/>
    <col min="17" max="17" width="13.42578125" customWidth="1"/>
    <col min="18" max="18" width="14.140625" customWidth="1"/>
    <col min="19" max="19" width="14.42578125" customWidth="1"/>
    <col min="20" max="20" width="13.42578125" customWidth="1"/>
  </cols>
  <sheetData>
    <row r="1" spans="1:21" x14ac:dyDescent="0.25">
      <c r="A1" s="1" t="s">
        <v>793</v>
      </c>
      <c r="F1" s="1" t="s">
        <v>745</v>
      </c>
      <c r="L1" s="1" t="s">
        <v>802</v>
      </c>
      <c r="Q1" s="1" t="s">
        <v>799</v>
      </c>
    </row>
    <row r="2" spans="1:21" x14ac:dyDescent="0.25">
      <c r="A2" s="2"/>
      <c r="B2" s="7" t="s">
        <v>749</v>
      </c>
      <c r="C2" s="7" t="s">
        <v>750</v>
      </c>
      <c r="D2" s="7" t="s">
        <v>751</v>
      </c>
      <c r="F2" s="2"/>
      <c r="G2" s="6" t="s">
        <v>741</v>
      </c>
      <c r="H2" s="6" t="s">
        <v>742</v>
      </c>
      <c r="I2" s="6" t="s">
        <v>743</v>
      </c>
      <c r="J2" s="6" t="s">
        <v>744</v>
      </c>
      <c r="L2" s="2"/>
      <c r="M2" s="7" t="s">
        <v>749</v>
      </c>
      <c r="N2" s="7" t="s">
        <v>750</v>
      </c>
      <c r="O2" s="7" t="s">
        <v>751</v>
      </c>
      <c r="Q2" s="2"/>
      <c r="R2" s="6" t="s">
        <v>741</v>
      </c>
      <c r="S2" s="6" t="s">
        <v>742</v>
      </c>
      <c r="T2" s="6" t="s">
        <v>743</v>
      </c>
      <c r="U2" s="6" t="s">
        <v>744</v>
      </c>
    </row>
    <row r="3" spans="1:21" x14ac:dyDescent="0.25">
      <c r="A3" s="2" t="s">
        <v>738</v>
      </c>
      <c r="B3" s="6">
        <v>10</v>
      </c>
      <c r="C3" s="6">
        <v>3</v>
      </c>
      <c r="D3" s="6">
        <v>3</v>
      </c>
      <c r="F3" s="2" t="s">
        <v>738</v>
      </c>
      <c r="G3" s="5">
        <f>10/(10+3)</f>
        <v>0.76923076923076927</v>
      </c>
      <c r="H3" s="5">
        <f>15/(15+0)</f>
        <v>1</v>
      </c>
      <c r="I3" s="5">
        <f>19/(19+4)</f>
        <v>0.82608695652173914</v>
      </c>
      <c r="J3" s="5">
        <f>(G3+H3+I3)/3</f>
        <v>0.86510590858416947</v>
      </c>
      <c r="L3" s="2" t="s">
        <v>738</v>
      </c>
      <c r="M3" s="6">
        <v>7</v>
      </c>
      <c r="N3" s="6">
        <v>0</v>
      </c>
      <c r="O3" s="6">
        <v>0</v>
      </c>
      <c r="Q3" s="2" t="s">
        <v>738</v>
      </c>
      <c r="R3" s="5">
        <f>7/(7+0)</f>
        <v>1</v>
      </c>
      <c r="S3" s="5">
        <f>9/(9+0)</f>
        <v>1</v>
      </c>
      <c r="T3" s="5">
        <f>12/(12+1)</f>
        <v>0.92307692307692313</v>
      </c>
      <c r="U3" s="5">
        <f>(R3+S3+T3)/3</f>
        <v>0.97435897435897445</v>
      </c>
    </row>
    <row r="4" spans="1:21" x14ac:dyDescent="0.25">
      <c r="A4" s="2" t="s">
        <v>739</v>
      </c>
      <c r="B4" s="6">
        <v>9</v>
      </c>
      <c r="C4" s="6">
        <v>7</v>
      </c>
      <c r="D4" s="6">
        <v>4</v>
      </c>
      <c r="F4" s="2" t="s">
        <v>739</v>
      </c>
      <c r="G4" s="5">
        <f>9/(9+7)</f>
        <v>0.5625</v>
      </c>
      <c r="H4" s="5">
        <f>8/(8+9)</f>
        <v>0.47058823529411764</v>
      </c>
      <c r="I4" s="5">
        <f>7/(7+22)</f>
        <v>0.2413793103448276</v>
      </c>
      <c r="J4" s="5">
        <f t="shared" ref="J4:J6" si="0">(G4+H4+I4)/3</f>
        <v>0.42482251521298181</v>
      </c>
      <c r="L4" s="2" t="s">
        <v>739</v>
      </c>
      <c r="M4" s="6">
        <v>7</v>
      </c>
      <c r="N4" s="6">
        <v>3</v>
      </c>
      <c r="O4" s="6">
        <v>0</v>
      </c>
      <c r="P4" t="s">
        <v>748</v>
      </c>
      <c r="Q4" s="2" t="s">
        <v>739</v>
      </c>
      <c r="R4" s="5">
        <f>7/(7+3)</f>
        <v>0.7</v>
      </c>
      <c r="S4" s="5">
        <f>6/(6+2)</f>
        <v>0.75</v>
      </c>
      <c r="T4" s="5">
        <f>10/(10+5)</f>
        <v>0.66666666666666663</v>
      </c>
      <c r="U4" s="5">
        <f t="shared" ref="U4:U6" si="1">(R4+S4+T4)/3</f>
        <v>0.7055555555555556</v>
      </c>
    </row>
    <row r="5" spans="1:21" x14ac:dyDescent="0.25">
      <c r="A5" s="2" t="s">
        <v>753</v>
      </c>
      <c r="B5" s="6">
        <f>(B3+B4)/2</f>
        <v>9.5</v>
      </c>
      <c r="C5" s="6">
        <f t="shared" ref="C5:D5" si="2">(C3+C4)/2</f>
        <v>5</v>
      </c>
      <c r="D5" s="6">
        <f t="shared" si="2"/>
        <v>3.5</v>
      </c>
      <c r="F5" s="2" t="s">
        <v>753</v>
      </c>
      <c r="G5" s="5">
        <f>(G3+G4)/2</f>
        <v>0.66586538461538458</v>
      </c>
      <c r="H5" s="5">
        <f>(H3+H4)/2</f>
        <v>0.73529411764705888</v>
      </c>
      <c r="I5" s="5">
        <f>(I3+I4)/2</f>
        <v>0.53373313343328332</v>
      </c>
      <c r="J5" s="5">
        <f t="shared" si="0"/>
        <v>0.64496421189857556</v>
      </c>
      <c r="L5" s="2" t="s">
        <v>753</v>
      </c>
      <c r="M5" s="6">
        <f>(M3+M4)/2</f>
        <v>7</v>
      </c>
      <c r="N5" s="6">
        <f t="shared" ref="N5:O5" si="3">(N3+N4)/2</f>
        <v>1.5</v>
      </c>
      <c r="O5" s="6">
        <f t="shared" si="3"/>
        <v>0</v>
      </c>
      <c r="Q5" s="2" t="s">
        <v>753</v>
      </c>
      <c r="R5" s="5">
        <f>(R3+R4)/2</f>
        <v>0.85</v>
      </c>
      <c r="S5" s="5">
        <f>(S3+S4)/2</f>
        <v>0.875</v>
      </c>
      <c r="T5" s="5">
        <f>(T3+T4)/2</f>
        <v>0.79487179487179493</v>
      </c>
      <c r="U5" s="5">
        <f t="shared" si="1"/>
        <v>0.83995726495726508</v>
      </c>
    </row>
    <row r="6" spans="1:21" x14ac:dyDescent="0.25">
      <c r="A6" s="2" t="s">
        <v>740</v>
      </c>
      <c r="B6" s="6">
        <v>10</v>
      </c>
      <c r="C6" s="6">
        <v>3</v>
      </c>
      <c r="D6" s="6">
        <v>3</v>
      </c>
      <c r="F6" s="2" t="s">
        <v>740</v>
      </c>
      <c r="G6" s="5">
        <f>10/(10+3)</f>
        <v>0.76923076923076927</v>
      </c>
      <c r="H6" s="5">
        <f>12/(12+3)</f>
        <v>0.8</v>
      </c>
      <c r="I6" s="5">
        <f>12/(12+11)</f>
        <v>0.52173913043478259</v>
      </c>
      <c r="J6" s="5">
        <f t="shared" si="0"/>
        <v>0.69698996655518408</v>
      </c>
      <c r="L6" s="2" t="s">
        <v>740</v>
      </c>
      <c r="M6" s="6">
        <v>7</v>
      </c>
      <c r="N6" s="6">
        <v>0</v>
      </c>
      <c r="O6" s="6">
        <v>0</v>
      </c>
      <c r="Q6" s="2" t="s">
        <v>740</v>
      </c>
      <c r="R6" s="5">
        <f>7/(7+0)</f>
        <v>1</v>
      </c>
      <c r="S6" s="5">
        <f>9/(9+0)</f>
        <v>1</v>
      </c>
      <c r="T6" s="5">
        <f>10/(10+4)</f>
        <v>0.7142857142857143</v>
      </c>
      <c r="U6" s="5">
        <f t="shared" si="1"/>
        <v>0.90476190476190477</v>
      </c>
    </row>
    <row r="8" spans="1:21" x14ac:dyDescent="0.25">
      <c r="A8" s="1" t="s">
        <v>794</v>
      </c>
      <c r="F8" s="1" t="s">
        <v>746</v>
      </c>
      <c r="L8" s="1" t="s">
        <v>803</v>
      </c>
      <c r="Q8" s="1" t="s">
        <v>800</v>
      </c>
    </row>
    <row r="9" spans="1:21" x14ac:dyDescent="0.25">
      <c r="A9" s="2"/>
      <c r="B9" s="7" t="s">
        <v>749</v>
      </c>
      <c r="C9" s="7" t="s">
        <v>750</v>
      </c>
      <c r="D9" s="7" t="s">
        <v>751</v>
      </c>
      <c r="F9" s="2"/>
      <c r="G9" s="6" t="s">
        <v>741</v>
      </c>
      <c r="H9" s="6" t="s">
        <v>742</v>
      </c>
      <c r="I9" s="6" t="s">
        <v>743</v>
      </c>
      <c r="J9" s="6" t="s">
        <v>744</v>
      </c>
      <c r="L9" s="2"/>
      <c r="M9" s="7" t="s">
        <v>749</v>
      </c>
      <c r="N9" s="7" t="s">
        <v>750</v>
      </c>
      <c r="O9" s="7" t="s">
        <v>751</v>
      </c>
      <c r="Q9" s="2"/>
      <c r="R9" s="6" t="s">
        <v>741</v>
      </c>
      <c r="S9" s="6" t="s">
        <v>742</v>
      </c>
      <c r="T9" s="6" t="s">
        <v>743</v>
      </c>
      <c r="U9" s="6" t="s">
        <v>744</v>
      </c>
    </row>
    <row r="10" spans="1:21" x14ac:dyDescent="0.25">
      <c r="A10" s="2" t="s">
        <v>738</v>
      </c>
      <c r="B10" s="6">
        <v>15</v>
      </c>
      <c r="C10" s="6">
        <v>0</v>
      </c>
      <c r="D10" s="6">
        <v>0</v>
      </c>
      <c r="F10" s="2" t="s">
        <v>738</v>
      </c>
      <c r="G10" s="5">
        <f>10/(10+3)</f>
        <v>0.76923076923076927</v>
      </c>
      <c r="H10" s="5">
        <f>15/(15+0)</f>
        <v>1</v>
      </c>
      <c r="I10" s="5">
        <f>19/(19+5)</f>
        <v>0.79166666666666663</v>
      </c>
      <c r="J10" s="5">
        <f>(G10+H10+I10)/3</f>
        <v>0.8536324786324786</v>
      </c>
      <c r="L10" s="2" t="s">
        <v>738</v>
      </c>
      <c r="M10" s="6">
        <v>9</v>
      </c>
      <c r="N10" s="6">
        <v>0</v>
      </c>
      <c r="O10" s="6">
        <v>0</v>
      </c>
      <c r="Q10" s="2" t="s">
        <v>738</v>
      </c>
      <c r="R10" s="5">
        <f>7/(7+0)</f>
        <v>1</v>
      </c>
      <c r="S10" s="5">
        <f>9/(9+0)</f>
        <v>1</v>
      </c>
      <c r="T10" s="5">
        <f>12/(12+2)</f>
        <v>0.8571428571428571</v>
      </c>
      <c r="U10" s="5">
        <f>(R10+S10+T10)/3</f>
        <v>0.95238095238095244</v>
      </c>
    </row>
    <row r="11" spans="1:21" x14ac:dyDescent="0.25">
      <c r="A11" s="2" t="s">
        <v>739</v>
      </c>
      <c r="B11" s="6">
        <v>8</v>
      </c>
      <c r="C11" s="6">
        <v>9</v>
      </c>
      <c r="D11" s="6">
        <v>7</v>
      </c>
      <c r="F11" s="2" t="s">
        <v>739</v>
      </c>
      <c r="G11" s="5">
        <f>9/(9+4)</f>
        <v>0.69230769230769229</v>
      </c>
      <c r="H11" s="5">
        <f>8/(8+7)</f>
        <v>0.53333333333333333</v>
      </c>
      <c r="I11" s="5">
        <f>7/(7+18)</f>
        <v>0.28000000000000003</v>
      </c>
      <c r="J11" s="5">
        <f t="shared" ref="J11:J12" si="4">(G11+H11+I11)/3</f>
        <v>0.50188034188034192</v>
      </c>
      <c r="L11" s="2" t="s">
        <v>739</v>
      </c>
      <c r="M11" s="6">
        <v>6</v>
      </c>
      <c r="N11" s="6">
        <v>2</v>
      </c>
      <c r="O11" s="6">
        <v>2</v>
      </c>
      <c r="Q11" s="2" t="s">
        <v>739</v>
      </c>
      <c r="R11" s="5">
        <f>7/(7+0)</f>
        <v>1</v>
      </c>
      <c r="S11" s="5">
        <f>6/(6+2)</f>
        <v>0.75</v>
      </c>
      <c r="T11" s="5">
        <f>10/(10+4)</f>
        <v>0.7142857142857143</v>
      </c>
      <c r="U11" s="5">
        <f t="shared" ref="U11:U12" si="5">(R11+S11+T11)/3</f>
        <v>0.82142857142857151</v>
      </c>
    </row>
    <row r="12" spans="1:21" x14ac:dyDescent="0.25">
      <c r="A12" s="2" t="s">
        <v>753</v>
      </c>
      <c r="B12" s="6">
        <f>(B10+B11)/2</f>
        <v>11.5</v>
      </c>
      <c r="C12" s="6">
        <f t="shared" ref="C12:D12" si="6">(C10+C11)/2</f>
        <v>4.5</v>
      </c>
      <c r="D12" s="6">
        <f t="shared" si="6"/>
        <v>3.5</v>
      </c>
      <c r="F12" s="2" t="s">
        <v>753</v>
      </c>
      <c r="G12" s="5">
        <f>(G10+G11)/2</f>
        <v>0.73076923076923084</v>
      </c>
      <c r="H12" s="5">
        <f>(H10+H11)/2</f>
        <v>0.76666666666666661</v>
      </c>
      <c r="I12" s="5">
        <f>(I10+I11)/2</f>
        <v>0.53583333333333338</v>
      </c>
      <c r="J12" s="5">
        <f t="shared" si="4"/>
        <v>0.67775641025641031</v>
      </c>
      <c r="L12" s="2" t="s">
        <v>753</v>
      </c>
      <c r="M12" s="6">
        <f>(M10+M11)/2</f>
        <v>7.5</v>
      </c>
      <c r="N12" s="6">
        <f t="shared" ref="N12:O12" si="7">(N10+N11)/2</f>
        <v>1</v>
      </c>
      <c r="O12" s="6">
        <f t="shared" si="7"/>
        <v>1</v>
      </c>
      <c r="Q12" s="2" t="s">
        <v>753</v>
      </c>
      <c r="R12" s="5">
        <f>(R10+R11)/2</f>
        <v>1</v>
      </c>
      <c r="S12" s="5">
        <f>(S10+S11)/2</f>
        <v>0.875</v>
      </c>
      <c r="T12" s="5">
        <f>(T10+T11)/2</f>
        <v>0.7857142857142857</v>
      </c>
      <c r="U12" s="5">
        <f t="shared" si="5"/>
        <v>0.88690476190476186</v>
      </c>
    </row>
    <row r="13" spans="1:21" x14ac:dyDescent="0.25">
      <c r="A13" s="2" t="s">
        <v>740</v>
      </c>
      <c r="B13" s="6">
        <v>12</v>
      </c>
      <c r="C13" s="6">
        <v>3</v>
      </c>
      <c r="D13" s="6">
        <v>3</v>
      </c>
      <c r="F13" s="2" t="s">
        <v>740</v>
      </c>
      <c r="G13" s="5">
        <f>10/(10+3)</f>
        <v>0.76923076923076927</v>
      </c>
      <c r="H13" s="5">
        <f>12/(12+3)</f>
        <v>0.8</v>
      </c>
      <c r="I13" s="5">
        <f>12/(12+11)</f>
        <v>0.52173913043478259</v>
      </c>
      <c r="J13" s="5">
        <f>(G13+H13+I13)/3</f>
        <v>0.69698996655518408</v>
      </c>
      <c r="L13" s="2" t="s">
        <v>740</v>
      </c>
      <c r="M13" s="6">
        <v>9</v>
      </c>
      <c r="N13" s="6">
        <v>0</v>
      </c>
      <c r="O13" s="6">
        <v>0</v>
      </c>
      <c r="Q13" s="2" t="s">
        <v>740</v>
      </c>
      <c r="R13" s="5">
        <f>(R11+R12)/2</f>
        <v>1</v>
      </c>
      <c r="S13" s="5">
        <f>9/(9+0)</f>
        <v>1</v>
      </c>
      <c r="T13" s="5">
        <f>10/(10+4)</f>
        <v>0.7142857142857143</v>
      </c>
      <c r="U13" s="5">
        <f>(R13+S13+T13)/3</f>
        <v>0.90476190476190477</v>
      </c>
    </row>
    <row r="14" spans="1:21" x14ac:dyDescent="0.25">
      <c r="A14" t="s">
        <v>748</v>
      </c>
      <c r="H14" t="s">
        <v>748</v>
      </c>
      <c r="L14" t="s">
        <v>748</v>
      </c>
      <c r="S14" t="s">
        <v>748</v>
      </c>
    </row>
    <row r="15" spans="1:21" x14ac:dyDescent="0.25">
      <c r="A15" s="1" t="s">
        <v>795</v>
      </c>
      <c r="F15" s="1" t="s">
        <v>747</v>
      </c>
      <c r="L15" s="1" t="s">
        <v>804</v>
      </c>
      <c r="Q15" s="1" t="s">
        <v>801</v>
      </c>
    </row>
    <row r="16" spans="1:21" x14ac:dyDescent="0.25">
      <c r="A16" s="2"/>
      <c r="B16" s="7" t="s">
        <v>749</v>
      </c>
      <c r="C16" s="7" t="s">
        <v>750</v>
      </c>
      <c r="D16" s="7" t="s">
        <v>751</v>
      </c>
      <c r="F16" s="2"/>
      <c r="G16" s="6" t="s">
        <v>741</v>
      </c>
      <c r="H16" s="6" t="s">
        <v>742</v>
      </c>
      <c r="I16" s="6" t="s">
        <v>743</v>
      </c>
      <c r="J16" s="6" t="s">
        <v>744</v>
      </c>
      <c r="L16" s="2"/>
      <c r="M16" s="7" t="s">
        <v>749</v>
      </c>
      <c r="N16" s="7" t="s">
        <v>750</v>
      </c>
      <c r="O16" s="7" t="s">
        <v>751</v>
      </c>
      <c r="Q16" s="2"/>
      <c r="R16" s="6" t="s">
        <v>741</v>
      </c>
      <c r="S16" s="6" t="s">
        <v>742</v>
      </c>
      <c r="T16" s="6" t="s">
        <v>743</v>
      </c>
      <c r="U16" s="6" t="s">
        <v>744</v>
      </c>
    </row>
    <row r="17" spans="1:21" x14ac:dyDescent="0.25">
      <c r="A17" s="2" t="s">
        <v>738</v>
      </c>
      <c r="B17" s="6">
        <v>19</v>
      </c>
      <c r="C17" s="6">
        <v>4</v>
      </c>
      <c r="D17" s="6">
        <v>5</v>
      </c>
      <c r="F17" s="2" t="s">
        <v>738</v>
      </c>
      <c r="G17" s="5">
        <f>10/(10+3+3)</f>
        <v>0.625</v>
      </c>
      <c r="H17" s="5">
        <f>15/(15+0+0)</f>
        <v>1</v>
      </c>
      <c r="I17" s="5">
        <f>19/(19+4+5)</f>
        <v>0.6785714285714286</v>
      </c>
      <c r="J17" s="5">
        <f>(G17+H17+I17)/3</f>
        <v>0.7678571428571429</v>
      </c>
      <c r="L17" s="2" t="s">
        <v>738</v>
      </c>
      <c r="M17" s="6">
        <v>12</v>
      </c>
      <c r="N17" s="6">
        <v>1</v>
      </c>
      <c r="O17" s="6">
        <v>2</v>
      </c>
      <c r="Q17" s="2" t="s">
        <v>738</v>
      </c>
      <c r="R17" s="5">
        <f>7/(7+0+0)</f>
        <v>1</v>
      </c>
      <c r="S17" s="5">
        <f>9/(9+0+0)</f>
        <v>1</v>
      </c>
      <c r="T17" s="5">
        <f>12/(12+1+2)</f>
        <v>0.8</v>
      </c>
      <c r="U17" s="5">
        <f>(R17+S17+T17)/3</f>
        <v>0.93333333333333324</v>
      </c>
    </row>
    <row r="18" spans="1:21" x14ac:dyDescent="0.25">
      <c r="A18" s="2" t="s">
        <v>739</v>
      </c>
      <c r="B18" s="6">
        <v>7</v>
      </c>
      <c r="C18" s="6">
        <v>22</v>
      </c>
      <c r="D18" s="6">
        <v>18</v>
      </c>
      <c r="F18" s="2" t="s">
        <v>739</v>
      </c>
      <c r="G18" s="5">
        <f>9/(9+7+4)</f>
        <v>0.45</v>
      </c>
      <c r="H18" s="5">
        <f>8/(8+9+7)</f>
        <v>0.33333333333333331</v>
      </c>
      <c r="I18" s="5">
        <f>7/(7+22+18)</f>
        <v>0.14893617021276595</v>
      </c>
      <c r="J18" s="5">
        <f t="shared" ref="J18:J20" si="8">(G18+H18+I18)/3</f>
        <v>0.31075650118203307</v>
      </c>
      <c r="L18" s="2" t="s">
        <v>739</v>
      </c>
      <c r="M18" s="6">
        <v>10</v>
      </c>
      <c r="N18" s="6">
        <v>5</v>
      </c>
      <c r="O18" s="6">
        <v>4</v>
      </c>
      <c r="Q18" s="2" t="s">
        <v>739</v>
      </c>
      <c r="R18" s="5">
        <f>7/(7+3+0)</f>
        <v>0.7</v>
      </c>
      <c r="S18" s="5">
        <f>6/(6+2+2)</f>
        <v>0.6</v>
      </c>
      <c r="T18" s="5">
        <f>10/(10+5+4)</f>
        <v>0.52631578947368418</v>
      </c>
      <c r="U18" s="5">
        <f t="shared" ref="U18:U20" si="9">(R18+S18+T18)/3</f>
        <v>0.6087719298245613</v>
      </c>
    </row>
    <row r="19" spans="1:21" x14ac:dyDescent="0.25">
      <c r="A19" s="2" t="s">
        <v>753</v>
      </c>
      <c r="B19" s="6">
        <f>(B17+B18)/2</f>
        <v>13</v>
      </c>
      <c r="C19" s="6">
        <f t="shared" ref="C19:D19" si="10">(C17+C18)/2</f>
        <v>13</v>
      </c>
      <c r="D19" s="6">
        <f t="shared" si="10"/>
        <v>11.5</v>
      </c>
      <c r="F19" s="2" t="s">
        <v>753</v>
      </c>
      <c r="G19" s="5">
        <f>(G17+G18)/2</f>
        <v>0.53749999999999998</v>
      </c>
      <c r="H19" s="5">
        <f t="shared" ref="H19:I19" si="11">(H17+H18)/2</f>
        <v>0.66666666666666663</v>
      </c>
      <c r="I19" s="5">
        <f t="shared" si="11"/>
        <v>0.41375379939209728</v>
      </c>
      <c r="J19" s="5">
        <f t="shared" si="8"/>
        <v>0.53930682201958791</v>
      </c>
      <c r="L19" s="2" t="s">
        <v>753</v>
      </c>
      <c r="M19" s="6">
        <f>(M17+M18)/2</f>
        <v>11</v>
      </c>
      <c r="N19" s="6">
        <f t="shared" ref="N19:O19" si="12">(N17+N18)/2</f>
        <v>3</v>
      </c>
      <c r="O19" s="6">
        <f t="shared" si="12"/>
        <v>3</v>
      </c>
      <c r="Q19" s="2" t="s">
        <v>753</v>
      </c>
      <c r="R19" s="5">
        <f>(R17+R18)/2</f>
        <v>0.85</v>
      </c>
      <c r="S19" s="5">
        <f t="shared" ref="S19:T19" si="13">(S17+S18)/2</f>
        <v>0.8</v>
      </c>
      <c r="T19" s="5">
        <f t="shared" si="13"/>
        <v>0.66315789473684217</v>
      </c>
      <c r="U19" s="5">
        <f t="shared" si="9"/>
        <v>0.77105263157894743</v>
      </c>
    </row>
    <row r="20" spans="1:21" x14ac:dyDescent="0.25">
      <c r="A20" s="2" t="s">
        <v>740</v>
      </c>
      <c r="B20" s="6">
        <v>12</v>
      </c>
      <c r="C20" s="6">
        <v>11</v>
      </c>
      <c r="D20" s="6">
        <v>11</v>
      </c>
      <c r="F20" s="2" t="s">
        <v>740</v>
      </c>
      <c r="G20" s="5">
        <f>10/(10+3+3)</f>
        <v>0.625</v>
      </c>
      <c r="H20" s="5">
        <f>12/(12+3+3)</f>
        <v>0.66666666666666663</v>
      </c>
      <c r="I20" s="5">
        <f>12/(12+11+11)</f>
        <v>0.35294117647058826</v>
      </c>
      <c r="J20" s="5">
        <f t="shared" si="8"/>
        <v>0.54820261437908491</v>
      </c>
      <c r="L20" s="2" t="s">
        <v>740</v>
      </c>
      <c r="M20" s="6">
        <v>10</v>
      </c>
      <c r="N20" s="6">
        <v>4</v>
      </c>
      <c r="O20" s="6">
        <v>4</v>
      </c>
      <c r="Q20" s="2" t="s">
        <v>740</v>
      </c>
      <c r="R20" s="5">
        <f>7/(7+0+0)</f>
        <v>1</v>
      </c>
      <c r="S20" s="5">
        <f>9/(9+0+0)</f>
        <v>1</v>
      </c>
      <c r="T20" s="5">
        <f>10/(10+4+4)</f>
        <v>0.55555555555555558</v>
      </c>
      <c r="U20" s="5">
        <f t="shared" si="9"/>
        <v>0.85185185185185175</v>
      </c>
    </row>
    <row r="21" spans="1:21" x14ac:dyDescent="0.25">
      <c r="E21" t="s">
        <v>748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Loan application</vt:lpstr>
      <vt:lpstr>Order fulfillment</vt:lpstr>
      <vt:lpstr>Order to cash</vt:lpstr>
      <vt:lpstr>Task extraction</vt:lpstr>
      <vt:lpstr>Results</vt:lpstr>
    </vt:vector>
  </TitlesOfParts>
  <Company>Universitaet Regensburg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Wagner</dc:creator>
  <cp:lastModifiedBy>Christina Wagner</cp:lastModifiedBy>
  <dcterms:created xsi:type="dcterms:W3CDTF">2026-01-05T12:51:05Z</dcterms:created>
  <dcterms:modified xsi:type="dcterms:W3CDTF">2026-01-21T12:07:12Z</dcterms:modified>
</cp:coreProperties>
</file>